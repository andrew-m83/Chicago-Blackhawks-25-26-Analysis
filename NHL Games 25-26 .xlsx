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F8D642-7187-4E5D-ACC2-ED6E89E5102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1" i="1"/>
  <c r="B38" i="1"/>
  <c r="B35" i="1"/>
</calcChain>
</file>

<file path=xl/sharedStrings.xml><?xml version="1.0" encoding="utf-8"?>
<sst xmlns="http://schemas.openxmlformats.org/spreadsheetml/2006/main" count="94" uniqueCount="63">
  <si>
    <t>Team</t>
  </si>
  <si>
    <t>Season</t>
  </si>
  <si>
    <t>GP</t>
  </si>
  <si>
    <t>W</t>
  </si>
  <si>
    <t>L</t>
  </si>
  <si>
    <t>T</t>
  </si>
  <si>
    <t>OT</t>
  </si>
  <si>
    <t>P</t>
  </si>
  <si>
    <t>P%</t>
  </si>
  <si>
    <t>RW</t>
  </si>
  <si>
    <t>ROW</t>
  </si>
  <si>
    <t>S/O Win</t>
  </si>
  <si>
    <t>GF</t>
  </si>
  <si>
    <t>GA</t>
  </si>
  <si>
    <t>GF/GP</t>
  </si>
  <si>
    <t>GA/GP</t>
  </si>
  <si>
    <t>SO</t>
  </si>
  <si>
    <t>PP%</t>
  </si>
  <si>
    <t>PK%</t>
  </si>
  <si>
    <t>Net PP%</t>
  </si>
  <si>
    <t>Net PK%</t>
  </si>
  <si>
    <t>Shots/GP</t>
  </si>
  <si>
    <t>SA/GP</t>
  </si>
  <si>
    <t>FOW%</t>
  </si>
  <si>
    <t>Colorado Avalanche</t>
  </si>
  <si>
    <t>--</t>
  </si>
  <si>
    <t>Carolina Hurricanes</t>
  </si>
  <si>
    <t>Pittsburgh Penguins</t>
  </si>
  <si>
    <t>Tampa Bay Lightning</t>
  </si>
  <si>
    <t>Buffalo Sabres</t>
  </si>
  <si>
    <t>Edmonton Oilers</t>
  </si>
  <si>
    <t>Montréal Canadiens</t>
  </si>
  <si>
    <t>Ottawa Senators</t>
  </si>
  <si>
    <t>Dallas Stars</t>
  </si>
  <si>
    <t>Boston Bruins</t>
  </si>
  <si>
    <t>Minnesota Wild</t>
  </si>
  <si>
    <t>Utah Mammoth</t>
  </si>
  <si>
    <t>Anaheim Ducks</t>
  </si>
  <si>
    <t>Vegas Golden Knights</t>
  </si>
  <si>
    <t>Washington Capitals</t>
  </si>
  <si>
    <t>Toronto Maple Leafs</t>
  </si>
  <si>
    <t>San Jose Sharks</t>
  </si>
  <si>
    <t>Florida Panthers</t>
  </si>
  <si>
    <t>Columbus Blue Jackets</t>
  </si>
  <si>
    <t>Nashville Predators</t>
  </si>
  <si>
    <t>Philadelphia Flyers</t>
  </si>
  <si>
    <t>Detroit Red Wings</t>
  </si>
  <si>
    <t>New York Rangers</t>
  </si>
  <si>
    <t>St. Louis Blues</t>
  </si>
  <si>
    <t>New York Islanders</t>
  </si>
  <si>
    <t>Winnipeg Jets</t>
  </si>
  <si>
    <t>New Jersey Devils</t>
  </si>
  <si>
    <t>Seattle Kraken</t>
  </si>
  <si>
    <t>Los Angeles Kings</t>
  </si>
  <si>
    <t>Chicago Blackhawks</t>
  </si>
  <si>
    <t>Vancouver Canucks</t>
  </si>
  <si>
    <t>Calgary Flames</t>
  </si>
  <si>
    <t>League AVG GF/GP</t>
  </si>
  <si>
    <t>Blackhawks AVG GF/GP</t>
  </si>
  <si>
    <t>League AVG GA/GP</t>
  </si>
  <si>
    <t>Blackhawks AVG GA/GP</t>
  </si>
  <si>
    <t>Blackhawks Goal Differential</t>
  </si>
  <si>
    <t>Blackhawks Win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</si>
</sst>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5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workbookViewId="0">
      <selection activeCell="K31" sqref="K31"/>
    </sheetView>
  </sheetViews>
  <sheetFormatPr defaultRowHeight="15" x14ac:dyDescent="0.25"/>
  <cols>
    <col min="1" max="1" width="24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>
        <v>20252026</v>
      </c>
      <c r="C2">
        <v>82</v>
      </c>
      <c r="D2">
        <v>55</v>
      </c>
      <c r="E2">
        <v>16</v>
      </c>
      <c r="F2" t="s">
        <v>25</v>
      </c>
      <c r="G2">
        <v>11</v>
      </c>
      <c r="H2">
        <v>121</v>
      </c>
      <c r="I2">
        <v>0.73799999999999999</v>
      </c>
      <c r="J2">
        <v>48</v>
      </c>
      <c r="K2">
        <v>51</v>
      </c>
      <c r="L2">
        <v>4</v>
      </c>
      <c r="M2">
        <v>298</v>
      </c>
      <c r="N2">
        <v>197</v>
      </c>
      <c r="O2" s="1">
        <v>3.63</v>
      </c>
      <c r="P2" s="3">
        <v>2.4</v>
      </c>
      <c r="Q2">
        <v>8</v>
      </c>
      <c r="R2">
        <v>17.100000000000001</v>
      </c>
      <c r="S2">
        <v>84.6</v>
      </c>
      <c r="T2">
        <v>12.2</v>
      </c>
      <c r="U2">
        <v>85.5</v>
      </c>
      <c r="V2">
        <v>33.700000000000003</v>
      </c>
      <c r="W2">
        <v>26.1</v>
      </c>
      <c r="X2">
        <v>51.2</v>
      </c>
    </row>
    <row r="3" spans="1:24" ht="15.75" x14ac:dyDescent="0.25">
      <c r="A3" t="s">
        <v>26</v>
      </c>
      <c r="B3">
        <v>20252026</v>
      </c>
      <c r="C3">
        <v>82</v>
      </c>
      <c r="D3">
        <v>53</v>
      </c>
      <c r="E3">
        <v>22</v>
      </c>
      <c r="F3" t="s">
        <v>25</v>
      </c>
      <c r="G3">
        <v>7</v>
      </c>
      <c r="H3">
        <v>113</v>
      </c>
      <c r="I3">
        <v>0.68899999999999995</v>
      </c>
      <c r="J3">
        <v>39</v>
      </c>
      <c r="K3">
        <v>48</v>
      </c>
      <c r="L3">
        <v>5</v>
      </c>
      <c r="M3">
        <v>291</v>
      </c>
      <c r="N3">
        <v>236</v>
      </c>
      <c r="O3" s="1">
        <v>3.55</v>
      </c>
      <c r="P3" s="3">
        <v>2.88</v>
      </c>
      <c r="Q3">
        <v>3</v>
      </c>
      <c r="R3">
        <v>24.9</v>
      </c>
      <c r="S3">
        <v>80.5</v>
      </c>
      <c r="T3">
        <v>23.2</v>
      </c>
      <c r="U3">
        <v>85.7</v>
      </c>
      <c r="V3">
        <v>32.200000000000003</v>
      </c>
      <c r="W3">
        <v>23.9</v>
      </c>
      <c r="X3">
        <v>50.1</v>
      </c>
    </row>
    <row r="4" spans="1:24" ht="15.75" x14ac:dyDescent="0.25">
      <c r="A4" t="s">
        <v>27</v>
      </c>
      <c r="B4">
        <v>20252026</v>
      </c>
      <c r="C4">
        <v>82</v>
      </c>
      <c r="D4">
        <v>41</v>
      </c>
      <c r="E4">
        <v>25</v>
      </c>
      <c r="F4" t="s">
        <v>25</v>
      </c>
      <c r="G4">
        <v>16</v>
      </c>
      <c r="H4">
        <v>98</v>
      </c>
      <c r="I4">
        <v>0.59799999999999998</v>
      </c>
      <c r="J4">
        <v>34</v>
      </c>
      <c r="K4">
        <v>38</v>
      </c>
      <c r="L4">
        <v>3</v>
      </c>
      <c r="M4">
        <v>290</v>
      </c>
      <c r="N4">
        <v>258</v>
      </c>
      <c r="O4" s="1">
        <v>3.54</v>
      </c>
      <c r="P4" s="3">
        <v>3.15</v>
      </c>
      <c r="Q4">
        <v>4</v>
      </c>
      <c r="R4">
        <v>24.1</v>
      </c>
      <c r="S4">
        <v>81.400000000000006</v>
      </c>
      <c r="T4">
        <v>19</v>
      </c>
      <c r="U4">
        <v>84</v>
      </c>
      <c r="V4">
        <v>28.6</v>
      </c>
      <c r="W4">
        <v>27.4</v>
      </c>
      <c r="X4">
        <v>48.2</v>
      </c>
    </row>
    <row r="5" spans="1:24" ht="15.75" x14ac:dyDescent="0.25">
      <c r="A5" t="s">
        <v>28</v>
      </c>
      <c r="B5">
        <v>20252026</v>
      </c>
      <c r="C5">
        <v>82</v>
      </c>
      <c r="D5">
        <v>50</v>
      </c>
      <c r="E5">
        <v>26</v>
      </c>
      <c r="F5" t="s">
        <v>25</v>
      </c>
      <c r="G5">
        <v>6</v>
      </c>
      <c r="H5">
        <v>106</v>
      </c>
      <c r="I5">
        <v>0.64600000000000002</v>
      </c>
      <c r="J5">
        <v>40</v>
      </c>
      <c r="K5">
        <v>46</v>
      </c>
      <c r="L5">
        <v>4</v>
      </c>
      <c r="M5">
        <v>286</v>
      </c>
      <c r="N5">
        <v>229</v>
      </c>
      <c r="O5" s="1">
        <v>3.49</v>
      </c>
      <c r="P5" s="3">
        <v>2.79</v>
      </c>
      <c r="Q5">
        <v>2</v>
      </c>
      <c r="R5">
        <v>20.7</v>
      </c>
      <c r="S5">
        <v>82.6</v>
      </c>
      <c r="T5">
        <v>18.3</v>
      </c>
      <c r="U5">
        <v>84.9</v>
      </c>
      <c r="V5">
        <v>28.1</v>
      </c>
      <c r="W5">
        <v>26.7</v>
      </c>
      <c r="X5">
        <v>47.4</v>
      </c>
    </row>
    <row r="6" spans="1:24" ht="15.75" x14ac:dyDescent="0.25">
      <c r="A6" t="s">
        <v>29</v>
      </c>
      <c r="B6">
        <v>20252026</v>
      </c>
      <c r="C6">
        <v>82</v>
      </c>
      <c r="D6">
        <v>50</v>
      </c>
      <c r="E6">
        <v>23</v>
      </c>
      <c r="F6" t="s">
        <v>25</v>
      </c>
      <c r="G6">
        <v>9</v>
      </c>
      <c r="H6">
        <v>109</v>
      </c>
      <c r="I6">
        <v>0.66500000000000004</v>
      </c>
      <c r="J6">
        <v>42</v>
      </c>
      <c r="K6">
        <v>45</v>
      </c>
      <c r="L6">
        <v>5</v>
      </c>
      <c r="M6">
        <v>283</v>
      </c>
      <c r="N6">
        <v>240</v>
      </c>
      <c r="O6" s="1">
        <v>3.45</v>
      </c>
      <c r="P6" s="3">
        <v>2.93</v>
      </c>
      <c r="Q6">
        <v>5</v>
      </c>
      <c r="R6">
        <v>19.5</v>
      </c>
      <c r="S6">
        <v>81.900000000000006</v>
      </c>
      <c r="T6">
        <v>17.100000000000001</v>
      </c>
      <c r="U6">
        <v>86.6</v>
      </c>
      <c r="V6">
        <v>28.1</v>
      </c>
      <c r="W6">
        <v>29.1</v>
      </c>
      <c r="X6">
        <v>45.9</v>
      </c>
    </row>
    <row r="7" spans="1:24" ht="15.75" x14ac:dyDescent="0.25">
      <c r="A7" t="s">
        <v>30</v>
      </c>
      <c r="B7">
        <v>20252026</v>
      </c>
      <c r="C7">
        <v>82</v>
      </c>
      <c r="D7">
        <v>41</v>
      </c>
      <c r="E7">
        <v>30</v>
      </c>
      <c r="F7" t="s">
        <v>25</v>
      </c>
      <c r="G7">
        <v>11</v>
      </c>
      <c r="H7">
        <v>93</v>
      </c>
      <c r="I7">
        <v>0.56699999999999995</v>
      </c>
      <c r="J7">
        <v>32</v>
      </c>
      <c r="K7">
        <v>41</v>
      </c>
      <c r="L7">
        <v>0</v>
      </c>
      <c r="M7">
        <v>282</v>
      </c>
      <c r="N7">
        <v>265</v>
      </c>
      <c r="O7" s="1">
        <v>3.44</v>
      </c>
      <c r="P7" s="3">
        <v>3.23</v>
      </c>
      <c r="Q7">
        <v>5</v>
      </c>
      <c r="R7">
        <v>30.6</v>
      </c>
      <c r="S7">
        <v>77.8</v>
      </c>
      <c r="T7">
        <v>27.5</v>
      </c>
      <c r="U7">
        <v>80.5</v>
      </c>
      <c r="V7">
        <v>29.7</v>
      </c>
      <c r="W7">
        <v>26.7</v>
      </c>
      <c r="X7">
        <v>52.6</v>
      </c>
    </row>
    <row r="8" spans="1:24" ht="15.75" x14ac:dyDescent="0.25">
      <c r="A8" t="s">
        <v>31</v>
      </c>
      <c r="B8">
        <v>20252026</v>
      </c>
      <c r="C8">
        <v>82</v>
      </c>
      <c r="D8">
        <v>48</v>
      </c>
      <c r="E8">
        <v>24</v>
      </c>
      <c r="F8" t="s">
        <v>25</v>
      </c>
      <c r="G8">
        <v>10</v>
      </c>
      <c r="H8">
        <v>106</v>
      </c>
      <c r="I8">
        <v>0.64600000000000002</v>
      </c>
      <c r="J8">
        <v>34</v>
      </c>
      <c r="K8">
        <v>44</v>
      </c>
      <c r="L8">
        <v>4</v>
      </c>
      <c r="M8">
        <v>279</v>
      </c>
      <c r="N8">
        <v>251</v>
      </c>
      <c r="O8" s="1">
        <v>3.4</v>
      </c>
      <c r="P8" s="3">
        <v>3.06</v>
      </c>
      <c r="Q8">
        <v>1</v>
      </c>
      <c r="R8">
        <v>23.1</v>
      </c>
      <c r="S8">
        <v>78.2</v>
      </c>
      <c r="T8">
        <v>21.5</v>
      </c>
      <c r="U8">
        <v>81.5</v>
      </c>
      <c r="V8">
        <v>26.3</v>
      </c>
      <c r="W8">
        <v>27.8</v>
      </c>
      <c r="X8">
        <v>51</v>
      </c>
    </row>
    <row r="9" spans="1:24" ht="15.75" x14ac:dyDescent="0.25">
      <c r="A9" t="s">
        <v>32</v>
      </c>
      <c r="B9">
        <v>20252026</v>
      </c>
      <c r="C9">
        <v>82</v>
      </c>
      <c r="D9">
        <v>44</v>
      </c>
      <c r="E9">
        <v>27</v>
      </c>
      <c r="F9" t="s">
        <v>25</v>
      </c>
      <c r="G9">
        <v>11</v>
      </c>
      <c r="H9">
        <v>99</v>
      </c>
      <c r="I9">
        <v>0.60399999999999998</v>
      </c>
      <c r="J9">
        <v>38</v>
      </c>
      <c r="K9">
        <v>41</v>
      </c>
      <c r="L9">
        <v>3</v>
      </c>
      <c r="M9">
        <v>275</v>
      </c>
      <c r="N9">
        <v>245</v>
      </c>
      <c r="O9" s="1">
        <v>3.35</v>
      </c>
      <c r="P9" s="3">
        <v>2.99</v>
      </c>
      <c r="Q9">
        <v>4</v>
      </c>
      <c r="R9">
        <v>24</v>
      </c>
      <c r="S9">
        <v>75.7</v>
      </c>
      <c r="T9">
        <v>21.7</v>
      </c>
      <c r="U9">
        <v>79.099999999999994</v>
      </c>
      <c r="V9">
        <v>28.9</v>
      </c>
      <c r="W9">
        <v>24.4</v>
      </c>
      <c r="X9">
        <v>54.5</v>
      </c>
    </row>
    <row r="10" spans="1:24" ht="15.75" x14ac:dyDescent="0.25">
      <c r="A10" t="s">
        <v>33</v>
      </c>
      <c r="B10">
        <v>20252026</v>
      </c>
      <c r="C10">
        <v>82</v>
      </c>
      <c r="D10">
        <v>50</v>
      </c>
      <c r="E10">
        <v>20</v>
      </c>
      <c r="F10" t="s">
        <v>25</v>
      </c>
      <c r="G10">
        <v>12</v>
      </c>
      <c r="H10">
        <v>112</v>
      </c>
      <c r="I10">
        <v>0.68300000000000005</v>
      </c>
      <c r="J10">
        <v>38</v>
      </c>
      <c r="K10">
        <v>44</v>
      </c>
      <c r="L10">
        <v>6</v>
      </c>
      <c r="M10">
        <v>273</v>
      </c>
      <c r="N10">
        <v>222</v>
      </c>
      <c r="O10" s="1">
        <v>3.33</v>
      </c>
      <c r="P10" s="3">
        <v>2.71</v>
      </c>
      <c r="Q10">
        <v>5</v>
      </c>
      <c r="R10">
        <v>28.6</v>
      </c>
      <c r="S10">
        <v>80.3</v>
      </c>
      <c r="T10">
        <v>25.8</v>
      </c>
      <c r="U10">
        <v>81.900000000000006</v>
      </c>
      <c r="V10">
        <v>25.3</v>
      </c>
      <c r="W10">
        <v>26.2</v>
      </c>
      <c r="X10">
        <v>51.6</v>
      </c>
    </row>
    <row r="11" spans="1:24" ht="15.75" x14ac:dyDescent="0.25">
      <c r="A11" t="s">
        <v>34</v>
      </c>
      <c r="B11">
        <v>20252026</v>
      </c>
      <c r="C11">
        <v>82</v>
      </c>
      <c r="D11">
        <v>45</v>
      </c>
      <c r="E11">
        <v>27</v>
      </c>
      <c r="F11" t="s">
        <v>25</v>
      </c>
      <c r="G11">
        <v>10</v>
      </c>
      <c r="H11">
        <v>100</v>
      </c>
      <c r="I11">
        <v>0.61</v>
      </c>
      <c r="J11">
        <v>33</v>
      </c>
      <c r="K11">
        <v>41</v>
      </c>
      <c r="L11">
        <v>4</v>
      </c>
      <c r="M11">
        <v>268</v>
      </c>
      <c r="N11">
        <v>247</v>
      </c>
      <c r="O11" s="1">
        <v>3.27</v>
      </c>
      <c r="P11" s="3">
        <v>3.01</v>
      </c>
      <c r="Q11">
        <v>3</v>
      </c>
      <c r="R11">
        <v>23.4</v>
      </c>
      <c r="S11">
        <v>77</v>
      </c>
      <c r="T11">
        <v>19.600000000000001</v>
      </c>
      <c r="U11">
        <v>77.7</v>
      </c>
      <c r="V11">
        <v>27</v>
      </c>
      <c r="W11">
        <v>29.7</v>
      </c>
      <c r="X11">
        <v>53.1</v>
      </c>
    </row>
    <row r="12" spans="1:24" ht="15.75" x14ac:dyDescent="0.25">
      <c r="A12" t="s">
        <v>35</v>
      </c>
      <c r="B12">
        <v>20252026</v>
      </c>
      <c r="C12">
        <v>82</v>
      </c>
      <c r="D12">
        <v>46</v>
      </c>
      <c r="E12">
        <v>24</v>
      </c>
      <c r="F12" t="s">
        <v>25</v>
      </c>
      <c r="G12">
        <v>12</v>
      </c>
      <c r="H12">
        <v>104</v>
      </c>
      <c r="I12">
        <v>0.63400000000000001</v>
      </c>
      <c r="J12">
        <v>31</v>
      </c>
      <c r="K12">
        <v>42</v>
      </c>
      <c r="L12">
        <v>4</v>
      </c>
      <c r="M12">
        <v>268</v>
      </c>
      <c r="N12">
        <v>235</v>
      </c>
      <c r="O12" s="1">
        <v>3.27</v>
      </c>
      <c r="P12" s="3">
        <v>2.87</v>
      </c>
      <c r="Q12">
        <v>8</v>
      </c>
      <c r="R12">
        <v>25.2</v>
      </c>
      <c r="S12">
        <v>79.8</v>
      </c>
      <c r="T12">
        <v>23.6</v>
      </c>
      <c r="U12">
        <v>83.1</v>
      </c>
      <c r="V12">
        <v>29.2</v>
      </c>
      <c r="W12">
        <v>29.4</v>
      </c>
      <c r="X12">
        <v>46.6</v>
      </c>
    </row>
    <row r="13" spans="1:24" ht="15.75" x14ac:dyDescent="0.25">
      <c r="A13" t="s">
        <v>36</v>
      </c>
      <c r="B13">
        <v>20252026</v>
      </c>
      <c r="C13">
        <v>82</v>
      </c>
      <c r="D13">
        <v>43</v>
      </c>
      <c r="E13">
        <v>33</v>
      </c>
      <c r="F13" t="s">
        <v>25</v>
      </c>
      <c r="G13">
        <v>6</v>
      </c>
      <c r="H13">
        <v>92</v>
      </c>
      <c r="I13">
        <v>0.56100000000000005</v>
      </c>
      <c r="J13">
        <v>33</v>
      </c>
      <c r="K13">
        <v>43</v>
      </c>
      <c r="L13">
        <v>0</v>
      </c>
      <c r="M13">
        <v>268</v>
      </c>
      <c r="N13">
        <v>240</v>
      </c>
      <c r="O13" s="1">
        <v>3.27</v>
      </c>
      <c r="P13" s="3">
        <v>2.93</v>
      </c>
      <c r="Q13">
        <v>3</v>
      </c>
      <c r="R13">
        <v>20</v>
      </c>
      <c r="S13">
        <v>78.099999999999994</v>
      </c>
      <c r="T13">
        <v>18.7</v>
      </c>
      <c r="U13">
        <v>81.400000000000006</v>
      </c>
      <c r="V13">
        <v>27.7</v>
      </c>
      <c r="W13">
        <v>26.1</v>
      </c>
      <c r="X13">
        <v>49.2</v>
      </c>
    </row>
    <row r="14" spans="1:24" ht="15.75" x14ac:dyDescent="0.25">
      <c r="A14" t="s">
        <v>37</v>
      </c>
      <c r="B14">
        <v>20252026</v>
      </c>
      <c r="C14">
        <v>82</v>
      </c>
      <c r="D14">
        <v>43</v>
      </c>
      <c r="E14">
        <v>33</v>
      </c>
      <c r="F14" t="s">
        <v>25</v>
      </c>
      <c r="G14">
        <v>6</v>
      </c>
      <c r="H14">
        <v>92</v>
      </c>
      <c r="I14">
        <v>0.56100000000000005</v>
      </c>
      <c r="J14">
        <v>26</v>
      </c>
      <c r="K14">
        <v>35</v>
      </c>
      <c r="L14">
        <v>8</v>
      </c>
      <c r="M14">
        <v>265</v>
      </c>
      <c r="N14">
        <v>288</v>
      </c>
      <c r="O14" s="1">
        <v>3.23</v>
      </c>
      <c r="P14" s="3">
        <v>3.51</v>
      </c>
      <c r="Q14">
        <v>0</v>
      </c>
      <c r="R14">
        <v>18.600000000000001</v>
      </c>
      <c r="S14">
        <v>76.400000000000006</v>
      </c>
      <c r="T14">
        <v>16.3</v>
      </c>
      <c r="U14">
        <v>79.5</v>
      </c>
      <c r="V14">
        <v>30.8</v>
      </c>
      <c r="W14">
        <v>28.4</v>
      </c>
      <c r="X14">
        <v>48</v>
      </c>
    </row>
    <row r="15" spans="1:24" ht="15.75" x14ac:dyDescent="0.25">
      <c r="A15" t="s">
        <v>38</v>
      </c>
      <c r="B15">
        <v>20252026</v>
      </c>
      <c r="C15">
        <v>82</v>
      </c>
      <c r="D15">
        <v>39</v>
      </c>
      <c r="E15">
        <v>26</v>
      </c>
      <c r="F15" t="s">
        <v>25</v>
      </c>
      <c r="G15">
        <v>17</v>
      </c>
      <c r="H15">
        <v>95</v>
      </c>
      <c r="I15">
        <v>0.57899999999999996</v>
      </c>
      <c r="J15">
        <v>30</v>
      </c>
      <c r="K15">
        <v>38</v>
      </c>
      <c r="L15">
        <v>1</v>
      </c>
      <c r="M15">
        <v>264</v>
      </c>
      <c r="N15">
        <v>242</v>
      </c>
      <c r="O15" s="1">
        <v>3.22</v>
      </c>
      <c r="P15" s="3">
        <v>2.95</v>
      </c>
      <c r="Q15">
        <v>3</v>
      </c>
      <c r="R15">
        <v>24.6</v>
      </c>
      <c r="S15">
        <v>81.400000000000006</v>
      </c>
      <c r="T15">
        <v>22</v>
      </c>
      <c r="U15">
        <v>84.3</v>
      </c>
      <c r="V15">
        <v>29</v>
      </c>
      <c r="W15">
        <v>24.4</v>
      </c>
      <c r="X15">
        <v>51</v>
      </c>
    </row>
    <row r="16" spans="1:24" ht="15.75" x14ac:dyDescent="0.25">
      <c r="A16" t="s">
        <v>39</v>
      </c>
      <c r="B16">
        <v>20252026</v>
      </c>
      <c r="C16">
        <v>82</v>
      </c>
      <c r="D16">
        <v>43</v>
      </c>
      <c r="E16">
        <v>30</v>
      </c>
      <c r="F16" t="s">
        <v>25</v>
      </c>
      <c r="G16">
        <v>9</v>
      </c>
      <c r="H16">
        <v>95</v>
      </c>
      <c r="I16">
        <v>0.57899999999999996</v>
      </c>
      <c r="J16">
        <v>37</v>
      </c>
      <c r="K16">
        <v>41</v>
      </c>
      <c r="L16">
        <v>2</v>
      </c>
      <c r="M16">
        <v>261</v>
      </c>
      <c r="N16">
        <v>238</v>
      </c>
      <c r="O16" s="1">
        <v>3.18</v>
      </c>
      <c r="P16" s="3">
        <v>2.9</v>
      </c>
      <c r="Q16">
        <v>5</v>
      </c>
      <c r="R16">
        <v>17.8</v>
      </c>
      <c r="S16">
        <v>80.099999999999994</v>
      </c>
      <c r="T16">
        <v>13.3</v>
      </c>
      <c r="U16">
        <v>81.7</v>
      </c>
      <c r="V16">
        <v>28</v>
      </c>
      <c r="W16">
        <v>28.1</v>
      </c>
      <c r="X16">
        <v>49.3</v>
      </c>
    </row>
    <row r="17" spans="1:24" ht="15.75" x14ac:dyDescent="0.25">
      <c r="A17" t="s">
        <v>40</v>
      </c>
      <c r="B17">
        <v>20252026</v>
      </c>
      <c r="C17">
        <v>82</v>
      </c>
      <c r="D17">
        <v>32</v>
      </c>
      <c r="E17">
        <v>36</v>
      </c>
      <c r="F17" t="s">
        <v>25</v>
      </c>
      <c r="G17">
        <v>14</v>
      </c>
      <c r="H17">
        <v>78</v>
      </c>
      <c r="I17">
        <v>0.47599999999999998</v>
      </c>
      <c r="J17">
        <v>23</v>
      </c>
      <c r="K17">
        <v>31</v>
      </c>
      <c r="L17">
        <v>1</v>
      </c>
      <c r="M17">
        <v>252</v>
      </c>
      <c r="N17">
        <v>295</v>
      </c>
      <c r="O17" s="1">
        <v>3.07</v>
      </c>
      <c r="P17" s="3">
        <v>3.6</v>
      </c>
      <c r="Q17">
        <v>3</v>
      </c>
      <c r="R17">
        <v>21.3</v>
      </c>
      <c r="S17">
        <v>81.2</v>
      </c>
      <c r="T17">
        <v>17.8</v>
      </c>
      <c r="U17">
        <v>83.8</v>
      </c>
      <c r="V17">
        <v>26.3</v>
      </c>
      <c r="W17">
        <v>32.4</v>
      </c>
      <c r="X17">
        <v>54.2</v>
      </c>
    </row>
    <row r="18" spans="1:24" ht="15.75" x14ac:dyDescent="0.25">
      <c r="A18" t="s">
        <v>41</v>
      </c>
      <c r="B18">
        <v>20252026</v>
      </c>
      <c r="C18">
        <v>82</v>
      </c>
      <c r="D18">
        <v>39</v>
      </c>
      <c r="E18">
        <v>35</v>
      </c>
      <c r="F18" t="s">
        <v>25</v>
      </c>
      <c r="G18">
        <v>8</v>
      </c>
      <c r="H18">
        <v>86</v>
      </c>
      <c r="I18">
        <v>0.52400000000000002</v>
      </c>
      <c r="J18">
        <v>27</v>
      </c>
      <c r="K18">
        <v>37</v>
      </c>
      <c r="L18">
        <v>2</v>
      </c>
      <c r="M18">
        <v>249</v>
      </c>
      <c r="N18">
        <v>290</v>
      </c>
      <c r="O18" s="1">
        <v>3.04</v>
      </c>
      <c r="P18" s="3">
        <v>3.54</v>
      </c>
      <c r="Q18">
        <v>0</v>
      </c>
      <c r="R18">
        <v>21.2</v>
      </c>
      <c r="S18">
        <v>76.400000000000006</v>
      </c>
      <c r="T18">
        <v>18</v>
      </c>
      <c r="U18">
        <v>77.599999999999994</v>
      </c>
      <c r="V18">
        <v>25.8</v>
      </c>
      <c r="W18">
        <v>29.6</v>
      </c>
      <c r="X18">
        <v>47.8</v>
      </c>
    </row>
    <row r="19" spans="1:24" ht="15.75" x14ac:dyDescent="0.25">
      <c r="A19" t="s">
        <v>42</v>
      </c>
      <c r="B19">
        <v>20252026</v>
      </c>
      <c r="C19">
        <v>82</v>
      </c>
      <c r="D19">
        <v>40</v>
      </c>
      <c r="E19">
        <v>38</v>
      </c>
      <c r="F19" t="s">
        <v>25</v>
      </c>
      <c r="G19">
        <v>4</v>
      </c>
      <c r="H19">
        <v>84</v>
      </c>
      <c r="I19">
        <v>0.51200000000000001</v>
      </c>
      <c r="J19">
        <v>32</v>
      </c>
      <c r="K19">
        <v>35</v>
      </c>
      <c r="L19">
        <v>5</v>
      </c>
      <c r="M19">
        <v>246</v>
      </c>
      <c r="N19">
        <v>274</v>
      </c>
      <c r="O19" s="1">
        <v>3</v>
      </c>
      <c r="P19" s="3">
        <v>3.34</v>
      </c>
      <c r="Q19">
        <v>4</v>
      </c>
      <c r="R19">
        <v>19.5</v>
      </c>
      <c r="S19">
        <v>81</v>
      </c>
      <c r="T19">
        <v>16.899999999999999</v>
      </c>
      <c r="U19">
        <v>83.2</v>
      </c>
      <c r="V19">
        <v>28</v>
      </c>
      <c r="W19">
        <v>26.8</v>
      </c>
      <c r="X19">
        <v>46.8</v>
      </c>
    </row>
    <row r="20" spans="1:24" ht="15.75" x14ac:dyDescent="0.25">
      <c r="A20" t="s">
        <v>43</v>
      </c>
      <c r="B20">
        <v>20252026</v>
      </c>
      <c r="C20">
        <v>82</v>
      </c>
      <c r="D20">
        <v>40</v>
      </c>
      <c r="E20">
        <v>30</v>
      </c>
      <c r="F20" t="s">
        <v>25</v>
      </c>
      <c r="G20">
        <v>12</v>
      </c>
      <c r="H20">
        <v>92</v>
      </c>
      <c r="I20">
        <v>0.56100000000000005</v>
      </c>
      <c r="J20">
        <v>28</v>
      </c>
      <c r="K20">
        <v>33</v>
      </c>
      <c r="L20">
        <v>7</v>
      </c>
      <c r="M20">
        <v>246</v>
      </c>
      <c r="N20">
        <v>251</v>
      </c>
      <c r="O20" s="1">
        <v>3</v>
      </c>
      <c r="P20" s="3">
        <v>3.06</v>
      </c>
      <c r="Q20">
        <v>3</v>
      </c>
      <c r="R20">
        <v>18.899999999999999</v>
      </c>
      <c r="S20">
        <v>76</v>
      </c>
      <c r="T20">
        <v>16.399999999999999</v>
      </c>
      <c r="U20">
        <v>78.3</v>
      </c>
      <c r="V20">
        <v>29.4</v>
      </c>
      <c r="W20">
        <v>28.8</v>
      </c>
      <c r="X20">
        <v>50.6</v>
      </c>
    </row>
    <row r="21" spans="1:24" ht="15.75" x14ac:dyDescent="0.25">
      <c r="A21" t="s">
        <v>44</v>
      </c>
      <c r="B21">
        <v>20252026</v>
      </c>
      <c r="C21">
        <v>82</v>
      </c>
      <c r="D21">
        <v>38</v>
      </c>
      <c r="E21">
        <v>34</v>
      </c>
      <c r="F21" t="s">
        <v>25</v>
      </c>
      <c r="G21">
        <v>10</v>
      </c>
      <c r="H21">
        <v>86</v>
      </c>
      <c r="I21">
        <v>0.52400000000000002</v>
      </c>
      <c r="J21">
        <v>28</v>
      </c>
      <c r="K21">
        <v>33</v>
      </c>
      <c r="L21">
        <v>5</v>
      </c>
      <c r="M21">
        <v>242</v>
      </c>
      <c r="N21">
        <v>267</v>
      </c>
      <c r="O21" s="1">
        <v>2.95</v>
      </c>
      <c r="P21" s="3">
        <v>3.26</v>
      </c>
      <c r="Q21">
        <v>1</v>
      </c>
      <c r="R21">
        <v>23.1</v>
      </c>
      <c r="S21">
        <v>81.7</v>
      </c>
      <c r="T21">
        <v>22.3</v>
      </c>
      <c r="U21">
        <v>85</v>
      </c>
      <c r="V21">
        <v>27.9</v>
      </c>
      <c r="W21">
        <v>29.6</v>
      </c>
      <c r="X21">
        <v>50.5</v>
      </c>
    </row>
    <row r="22" spans="1:24" ht="15.75" x14ac:dyDescent="0.25">
      <c r="A22" t="s">
        <v>45</v>
      </c>
      <c r="B22">
        <v>20252026</v>
      </c>
      <c r="C22">
        <v>82</v>
      </c>
      <c r="D22">
        <v>43</v>
      </c>
      <c r="E22">
        <v>27</v>
      </c>
      <c r="F22" t="s">
        <v>25</v>
      </c>
      <c r="G22">
        <v>12</v>
      </c>
      <c r="H22">
        <v>98</v>
      </c>
      <c r="I22">
        <v>0.59799999999999998</v>
      </c>
      <c r="J22">
        <v>27</v>
      </c>
      <c r="K22">
        <v>33</v>
      </c>
      <c r="L22">
        <v>10</v>
      </c>
      <c r="M22">
        <v>240</v>
      </c>
      <c r="N22">
        <v>239</v>
      </c>
      <c r="O22" s="1">
        <v>2.93</v>
      </c>
      <c r="P22" s="3">
        <v>2.91</v>
      </c>
      <c r="Q22">
        <v>0</v>
      </c>
      <c r="R22">
        <v>15.7</v>
      </c>
      <c r="S22">
        <v>77.599999999999994</v>
      </c>
      <c r="T22">
        <v>11.9</v>
      </c>
      <c r="U22">
        <v>80.400000000000006</v>
      </c>
      <c r="V22">
        <v>25.5</v>
      </c>
      <c r="W22">
        <v>25.5</v>
      </c>
      <c r="X22">
        <v>49.5</v>
      </c>
    </row>
    <row r="23" spans="1:24" ht="15.75" x14ac:dyDescent="0.25">
      <c r="A23" t="s">
        <v>46</v>
      </c>
      <c r="B23">
        <v>20252026</v>
      </c>
      <c r="C23">
        <v>82</v>
      </c>
      <c r="D23">
        <v>41</v>
      </c>
      <c r="E23">
        <v>31</v>
      </c>
      <c r="F23" t="s">
        <v>25</v>
      </c>
      <c r="G23">
        <v>10</v>
      </c>
      <c r="H23">
        <v>92</v>
      </c>
      <c r="I23">
        <v>0.56100000000000005</v>
      </c>
      <c r="J23">
        <v>30</v>
      </c>
      <c r="K23">
        <v>39</v>
      </c>
      <c r="L23">
        <v>2</v>
      </c>
      <c r="M23">
        <v>239</v>
      </c>
      <c r="N23">
        <v>254</v>
      </c>
      <c r="O23" s="1">
        <v>2.91</v>
      </c>
      <c r="P23" s="3">
        <v>3.1</v>
      </c>
      <c r="Q23">
        <v>5</v>
      </c>
      <c r="R23">
        <v>22.6</v>
      </c>
      <c r="S23">
        <v>77.099999999999994</v>
      </c>
      <c r="T23">
        <v>20.6</v>
      </c>
      <c r="U23">
        <v>78.599999999999994</v>
      </c>
      <c r="V23">
        <v>28.2</v>
      </c>
      <c r="W23">
        <v>27.7</v>
      </c>
      <c r="X23">
        <v>51</v>
      </c>
    </row>
    <row r="24" spans="1:24" ht="15.75" x14ac:dyDescent="0.25">
      <c r="A24" t="s">
        <v>47</v>
      </c>
      <c r="B24">
        <v>20252026</v>
      </c>
      <c r="C24">
        <v>82</v>
      </c>
      <c r="D24">
        <v>34</v>
      </c>
      <c r="E24">
        <v>39</v>
      </c>
      <c r="F24" t="s">
        <v>25</v>
      </c>
      <c r="G24">
        <v>9</v>
      </c>
      <c r="H24">
        <v>77</v>
      </c>
      <c r="I24">
        <v>0.47</v>
      </c>
      <c r="J24">
        <v>25</v>
      </c>
      <c r="K24">
        <v>31</v>
      </c>
      <c r="L24">
        <v>3</v>
      </c>
      <c r="M24">
        <v>235</v>
      </c>
      <c r="N24">
        <v>249</v>
      </c>
      <c r="O24" s="1">
        <v>2.87</v>
      </c>
      <c r="P24" s="3">
        <v>3.04</v>
      </c>
      <c r="Q24">
        <v>3</v>
      </c>
      <c r="R24">
        <v>24.7</v>
      </c>
      <c r="S24">
        <v>79.900000000000006</v>
      </c>
      <c r="T24">
        <v>20.5</v>
      </c>
      <c r="U24">
        <v>82.3</v>
      </c>
      <c r="V24">
        <v>25.2</v>
      </c>
      <c r="W24">
        <v>28.8</v>
      </c>
      <c r="X24">
        <v>54.5</v>
      </c>
    </row>
    <row r="25" spans="1:24" ht="15.75" x14ac:dyDescent="0.25">
      <c r="A25" t="s">
        <v>48</v>
      </c>
      <c r="B25">
        <v>20252026</v>
      </c>
      <c r="C25">
        <v>82</v>
      </c>
      <c r="D25">
        <v>37</v>
      </c>
      <c r="E25">
        <v>33</v>
      </c>
      <c r="F25" t="s">
        <v>25</v>
      </c>
      <c r="G25">
        <v>12</v>
      </c>
      <c r="H25">
        <v>86</v>
      </c>
      <c r="I25">
        <v>0.52400000000000002</v>
      </c>
      <c r="J25">
        <v>33</v>
      </c>
      <c r="K25">
        <v>36</v>
      </c>
      <c r="L25">
        <v>1</v>
      </c>
      <c r="M25">
        <v>230</v>
      </c>
      <c r="N25">
        <v>254</v>
      </c>
      <c r="O25" s="1">
        <v>2.8</v>
      </c>
      <c r="P25" s="3">
        <v>3.1</v>
      </c>
      <c r="Q25">
        <v>7</v>
      </c>
      <c r="R25">
        <v>17.600000000000001</v>
      </c>
      <c r="S25">
        <v>76.7</v>
      </c>
      <c r="T25">
        <v>15.7</v>
      </c>
      <c r="U25">
        <v>79.400000000000006</v>
      </c>
      <c r="V25">
        <v>25.3</v>
      </c>
      <c r="W25">
        <v>27.7</v>
      </c>
      <c r="X25">
        <v>49.4</v>
      </c>
    </row>
    <row r="26" spans="1:24" ht="15.75" x14ac:dyDescent="0.25">
      <c r="A26" t="s">
        <v>49</v>
      </c>
      <c r="B26">
        <v>20252026</v>
      </c>
      <c r="C26">
        <v>82</v>
      </c>
      <c r="D26">
        <v>43</v>
      </c>
      <c r="E26">
        <v>34</v>
      </c>
      <c r="F26" t="s">
        <v>25</v>
      </c>
      <c r="G26">
        <v>5</v>
      </c>
      <c r="H26">
        <v>91</v>
      </c>
      <c r="I26">
        <v>0.55500000000000005</v>
      </c>
      <c r="J26">
        <v>29</v>
      </c>
      <c r="K26">
        <v>39</v>
      </c>
      <c r="L26">
        <v>4</v>
      </c>
      <c r="M26">
        <v>229</v>
      </c>
      <c r="N26">
        <v>236</v>
      </c>
      <c r="O26" s="1">
        <v>2.79</v>
      </c>
      <c r="P26" s="3">
        <v>2.88</v>
      </c>
      <c r="Q26">
        <v>9</v>
      </c>
      <c r="R26">
        <v>16.5</v>
      </c>
      <c r="S26">
        <v>80.8</v>
      </c>
      <c r="T26">
        <v>12.8</v>
      </c>
      <c r="U26">
        <v>85</v>
      </c>
      <c r="V26">
        <v>28.2</v>
      </c>
      <c r="W26">
        <v>27.7</v>
      </c>
      <c r="X26">
        <v>52.6</v>
      </c>
    </row>
    <row r="27" spans="1:24" ht="15.75" x14ac:dyDescent="0.25">
      <c r="A27" t="s">
        <v>50</v>
      </c>
      <c r="B27">
        <v>20252026</v>
      </c>
      <c r="C27">
        <v>82</v>
      </c>
      <c r="D27">
        <v>35</v>
      </c>
      <c r="E27">
        <v>35</v>
      </c>
      <c r="F27" t="s">
        <v>25</v>
      </c>
      <c r="G27">
        <v>12</v>
      </c>
      <c r="H27">
        <v>82</v>
      </c>
      <c r="I27">
        <v>0.5</v>
      </c>
      <c r="J27">
        <v>28</v>
      </c>
      <c r="K27">
        <v>33</v>
      </c>
      <c r="L27">
        <v>2</v>
      </c>
      <c r="M27">
        <v>229</v>
      </c>
      <c r="N27">
        <v>256</v>
      </c>
      <c r="O27" s="1">
        <v>2.79</v>
      </c>
      <c r="P27" s="3">
        <v>3.12</v>
      </c>
      <c r="Q27">
        <v>0</v>
      </c>
      <c r="R27">
        <v>18.5</v>
      </c>
      <c r="S27">
        <v>77.599999999999994</v>
      </c>
      <c r="T27">
        <v>16.3</v>
      </c>
      <c r="U27">
        <v>80.3</v>
      </c>
      <c r="V27">
        <v>26.4</v>
      </c>
      <c r="W27">
        <v>27.8</v>
      </c>
      <c r="X27">
        <v>51.1</v>
      </c>
    </row>
    <row r="28" spans="1:24" ht="15.75" x14ac:dyDescent="0.25">
      <c r="A28" t="s">
        <v>51</v>
      </c>
      <c r="B28">
        <v>20252026</v>
      </c>
      <c r="C28">
        <v>82</v>
      </c>
      <c r="D28">
        <v>42</v>
      </c>
      <c r="E28">
        <v>37</v>
      </c>
      <c r="F28" t="s">
        <v>25</v>
      </c>
      <c r="G28">
        <v>3</v>
      </c>
      <c r="H28">
        <v>87</v>
      </c>
      <c r="I28">
        <v>0.53</v>
      </c>
      <c r="J28">
        <v>29</v>
      </c>
      <c r="K28">
        <v>38</v>
      </c>
      <c r="L28">
        <v>4</v>
      </c>
      <c r="M28">
        <v>226</v>
      </c>
      <c r="N28">
        <v>253</v>
      </c>
      <c r="O28" s="1">
        <v>2.76</v>
      </c>
      <c r="P28" s="3">
        <v>3.09</v>
      </c>
      <c r="Q28">
        <v>2</v>
      </c>
      <c r="R28">
        <v>22</v>
      </c>
      <c r="S28">
        <v>79.3</v>
      </c>
      <c r="T28">
        <v>20</v>
      </c>
      <c r="U28">
        <v>82.7</v>
      </c>
      <c r="V28">
        <v>29.6</v>
      </c>
      <c r="W28">
        <v>27.4</v>
      </c>
      <c r="X28">
        <v>50.5</v>
      </c>
    </row>
    <row r="29" spans="1:24" ht="15.75" x14ac:dyDescent="0.25">
      <c r="A29" t="s">
        <v>52</v>
      </c>
      <c r="B29">
        <v>20252026</v>
      </c>
      <c r="C29">
        <v>82</v>
      </c>
      <c r="D29">
        <v>34</v>
      </c>
      <c r="E29">
        <v>37</v>
      </c>
      <c r="F29" t="s">
        <v>25</v>
      </c>
      <c r="G29">
        <v>11</v>
      </c>
      <c r="H29">
        <v>79</v>
      </c>
      <c r="I29">
        <v>0.48199999999999998</v>
      </c>
      <c r="J29">
        <v>26</v>
      </c>
      <c r="K29">
        <v>32</v>
      </c>
      <c r="L29">
        <v>2</v>
      </c>
      <c r="M29">
        <v>224</v>
      </c>
      <c r="N29">
        <v>257</v>
      </c>
      <c r="O29" s="1">
        <v>2.73</v>
      </c>
      <c r="P29" s="3">
        <v>3.13</v>
      </c>
      <c r="Q29">
        <v>2</v>
      </c>
      <c r="R29">
        <v>19.5</v>
      </c>
      <c r="S29">
        <v>72.2</v>
      </c>
      <c r="T29">
        <v>16.399999999999999</v>
      </c>
      <c r="U29">
        <v>73.099999999999994</v>
      </c>
      <c r="V29">
        <v>25.6</v>
      </c>
      <c r="W29">
        <v>29.5</v>
      </c>
      <c r="X29">
        <v>47.7</v>
      </c>
    </row>
    <row r="30" spans="1:24" ht="15.75" x14ac:dyDescent="0.25">
      <c r="A30" t="s">
        <v>53</v>
      </c>
      <c r="B30">
        <v>20252026</v>
      </c>
      <c r="C30">
        <v>82</v>
      </c>
      <c r="D30">
        <v>35</v>
      </c>
      <c r="E30">
        <v>27</v>
      </c>
      <c r="F30" t="s">
        <v>25</v>
      </c>
      <c r="G30">
        <v>20</v>
      </c>
      <c r="H30">
        <v>90</v>
      </c>
      <c r="I30">
        <v>0.54900000000000004</v>
      </c>
      <c r="J30">
        <v>22</v>
      </c>
      <c r="K30">
        <v>30</v>
      </c>
      <c r="L30">
        <v>5</v>
      </c>
      <c r="M30">
        <v>220</v>
      </c>
      <c r="N30">
        <v>238</v>
      </c>
      <c r="O30" s="1">
        <v>2.68</v>
      </c>
      <c r="P30" s="3">
        <v>2.9</v>
      </c>
      <c r="Q30">
        <v>6</v>
      </c>
      <c r="R30">
        <v>17</v>
      </c>
      <c r="S30">
        <v>74.599999999999994</v>
      </c>
      <c r="T30">
        <v>13.8</v>
      </c>
      <c r="U30">
        <v>77.5</v>
      </c>
      <c r="V30">
        <v>28</v>
      </c>
      <c r="W30">
        <v>27.2</v>
      </c>
      <c r="X30">
        <v>49.8</v>
      </c>
    </row>
    <row r="31" spans="1:24" ht="15.75" x14ac:dyDescent="0.25">
      <c r="A31" t="s">
        <v>54</v>
      </c>
      <c r="B31">
        <v>20252026</v>
      </c>
      <c r="C31">
        <v>82</v>
      </c>
      <c r="D31">
        <v>29</v>
      </c>
      <c r="E31">
        <v>39</v>
      </c>
      <c r="F31" t="s">
        <v>25</v>
      </c>
      <c r="G31">
        <v>14</v>
      </c>
      <c r="H31">
        <v>72</v>
      </c>
      <c r="I31">
        <v>0.439</v>
      </c>
      <c r="J31">
        <v>22</v>
      </c>
      <c r="K31">
        <v>26</v>
      </c>
      <c r="L31">
        <v>3</v>
      </c>
      <c r="M31">
        <v>210</v>
      </c>
      <c r="N31">
        <v>270</v>
      </c>
      <c r="O31" s="1">
        <v>2.56</v>
      </c>
      <c r="P31" s="3">
        <v>3.29</v>
      </c>
      <c r="Q31">
        <v>5</v>
      </c>
      <c r="R31">
        <v>16.899999999999999</v>
      </c>
      <c r="S31">
        <v>83.6</v>
      </c>
      <c r="T31">
        <v>15.7</v>
      </c>
      <c r="U31">
        <v>86.1</v>
      </c>
      <c r="V31">
        <v>24.6</v>
      </c>
      <c r="W31">
        <v>30</v>
      </c>
      <c r="X31">
        <v>46</v>
      </c>
    </row>
    <row r="32" spans="1:24" ht="15.75" x14ac:dyDescent="0.25">
      <c r="A32" t="s">
        <v>55</v>
      </c>
      <c r="B32">
        <v>20252026</v>
      </c>
      <c r="C32">
        <v>82</v>
      </c>
      <c r="D32">
        <v>25</v>
      </c>
      <c r="E32">
        <v>49</v>
      </c>
      <c r="F32" t="s">
        <v>25</v>
      </c>
      <c r="G32">
        <v>8</v>
      </c>
      <c r="H32">
        <v>58</v>
      </c>
      <c r="I32">
        <v>0.35399999999999998</v>
      </c>
      <c r="J32">
        <v>15</v>
      </c>
      <c r="K32">
        <v>19</v>
      </c>
      <c r="L32">
        <v>6</v>
      </c>
      <c r="M32">
        <v>210</v>
      </c>
      <c r="N32">
        <v>314</v>
      </c>
      <c r="O32" s="1">
        <v>2.56</v>
      </c>
      <c r="P32" s="3">
        <v>3.83</v>
      </c>
      <c r="Q32">
        <v>2</v>
      </c>
      <c r="R32">
        <v>21.8</v>
      </c>
      <c r="S32">
        <v>71.5</v>
      </c>
      <c r="T32">
        <v>19.2</v>
      </c>
      <c r="U32">
        <v>75.400000000000006</v>
      </c>
      <c r="V32">
        <v>26</v>
      </c>
      <c r="W32">
        <v>29.8</v>
      </c>
      <c r="X32">
        <v>49.3</v>
      </c>
    </row>
    <row r="33" spans="1:24" ht="15.75" x14ac:dyDescent="0.25">
      <c r="A33" t="s">
        <v>56</v>
      </c>
      <c r="B33">
        <v>20252026</v>
      </c>
      <c r="C33">
        <v>82</v>
      </c>
      <c r="D33">
        <v>34</v>
      </c>
      <c r="E33">
        <v>39</v>
      </c>
      <c r="F33" t="s">
        <v>25</v>
      </c>
      <c r="G33">
        <v>9</v>
      </c>
      <c r="H33">
        <v>77</v>
      </c>
      <c r="I33">
        <v>0.47</v>
      </c>
      <c r="J33">
        <v>27</v>
      </c>
      <c r="K33">
        <v>30</v>
      </c>
      <c r="L33">
        <v>4</v>
      </c>
      <c r="M33">
        <v>208</v>
      </c>
      <c r="N33">
        <v>256</v>
      </c>
      <c r="O33" s="1">
        <v>2.54</v>
      </c>
      <c r="P33" s="3">
        <v>3.12</v>
      </c>
      <c r="Q33">
        <v>2</v>
      </c>
      <c r="R33">
        <v>16.2</v>
      </c>
      <c r="S33">
        <v>80.400000000000006</v>
      </c>
      <c r="T33">
        <v>14.4</v>
      </c>
      <c r="U33">
        <v>84.9</v>
      </c>
      <c r="V33">
        <v>28.1</v>
      </c>
      <c r="W33">
        <v>29.9</v>
      </c>
      <c r="X33">
        <v>49.3</v>
      </c>
    </row>
    <row r="35" spans="1:24" x14ac:dyDescent="0.25">
      <c r="A35" s="1" t="s">
        <v>57</v>
      </c>
      <c r="B35" s="1">
        <f>AVERAGE(O2:O33)</f>
        <v>3.0812500000000016</v>
      </c>
    </row>
    <row r="36" spans="1:24" x14ac:dyDescent="0.25">
      <c r="A36" s="1" t="s">
        <v>58</v>
      </c>
      <c r="B36" s="1">
        <v>2.56</v>
      </c>
    </row>
    <row r="38" spans="1:24" x14ac:dyDescent="0.25">
      <c r="A38" s="3" t="s">
        <v>59</v>
      </c>
      <c r="B38" s="3">
        <f>AVERAGE(P2:P33)</f>
        <v>3.0818750000000001</v>
      </c>
    </row>
    <row r="39" spans="1:24" x14ac:dyDescent="0.25">
      <c r="A39" s="3" t="s">
        <v>60</v>
      </c>
      <c r="B39" s="3">
        <v>3.29</v>
      </c>
    </row>
    <row r="41" spans="1:24" x14ac:dyDescent="0.25">
      <c r="A41" s="2" t="s">
        <v>61</v>
      </c>
      <c r="B41" s="2">
        <f>M31-N31</f>
        <v>-60</v>
      </c>
    </row>
    <row r="43" spans="1:24" x14ac:dyDescent="0.25">
      <c r="A43" s="4" t="s">
        <v>62</v>
      </c>
      <c r="B43" s="5">
        <f>(29/82)</f>
        <v>0.35365853658536583</v>
      </c>
    </row>
  </sheetData>
  <pageMargins left="0.7" right="0.7" top="0.75" bottom="0.75" header="0.3" footer="0.3"/>
  <ignoredErrors>
    <ignoredError sqref="A2:X33 A1:N1 P1:X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McColl</cp:lastModifiedBy>
  <dcterms:created xsi:type="dcterms:W3CDTF">2026-10-13T02:32:47Z</dcterms:created>
  <dcterms:modified xsi:type="dcterms:W3CDTF">2026-10-13T04:05:54Z</dcterms:modified>
</cp:coreProperties>
</file>