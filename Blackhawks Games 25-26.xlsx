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B385867-F7DE-4ADE-ABF0-6789060AC8E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ummary" sheetId="1" r:id="rId1"/>
    <sheet name="October" sheetId="5" r:id="rId2"/>
    <sheet name="November" sheetId="6" r:id="rId3"/>
    <sheet name="December" sheetId="7" r:id="rId4"/>
    <sheet name="January" sheetId="8" r:id="rId5"/>
    <sheet name="February" sheetId="9" r:id="rId6"/>
    <sheet name="March" sheetId="10" r:id="rId7"/>
    <sheet name="April" sheetId="11" r:id="rId8"/>
  </sheets>
  <definedNames>
    <definedName name="_xlnm._FilterDatabase" localSheetId="0" hidden="1">Summary!$A$1:$X$83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5" l="1"/>
  <c r="C15" i="5"/>
  <c r="G11" i="11"/>
  <c r="F11" i="11"/>
  <c r="E11" i="11"/>
  <c r="D11" i="11"/>
  <c r="C11" i="11"/>
  <c r="B11" i="11"/>
  <c r="G20" i="10"/>
  <c r="F20" i="10"/>
  <c r="E20" i="10"/>
  <c r="D20" i="10"/>
  <c r="C20" i="10"/>
  <c r="B20" i="10"/>
  <c r="G8" i="9"/>
  <c r="F8" i="9"/>
  <c r="D8" i="9"/>
  <c r="C8" i="9"/>
  <c r="B8" i="9"/>
  <c r="G20" i="8"/>
  <c r="F20" i="8"/>
  <c r="E20" i="8"/>
  <c r="D20" i="8"/>
  <c r="C20" i="8"/>
  <c r="B20" i="8"/>
  <c r="G18" i="7"/>
  <c r="F18" i="7"/>
  <c r="E18" i="7"/>
  <c r="D18" i="7"/>
  <c r="C18" i="7"/>
  <c r="B18" i="7"/>
  <c r="G18" i="6"/>
  <c r="F18" i="6"/>
  <c r="E18" i="6"/>
  <c r="D18" i="6"/>
  <c r="C18" i="6"/>
  <c r="B18" i="6"/>
  <c r="F15" i="5"/>
  <c r="E15" i="5"/>
  <c r="G15" i="5" s="1"/>
  <c r="B15" i="5"/>
  <c r="B88" i="1"/>
  <c r="B85" i="1"/>
  <c r="B89" i="1"/>
  <c r="B86" i="1"/>
</calcChain>
</file>

<file path=xl/sharedStrings.xml><?xml version="1.0" encoding="utf-8"?>
<sst xmlns="http://schemas.openxmlformats.org/spreadsheetml/2006/main" count="953" uniqueCount="124">
  <si>
    <t>Team</t>
  </si>
  <si>
    <t>Game Date</t>
  </si>
  <si>
    <t>GP</t>
  </si>
  <si>
    <t>W</t>
  </si>
  <si>
    <t>L</t>
  </si>
  <si>
    <t>T</t>
  </si>
  <si>
    <t>OT</t>
  </si>
  <si>
    <t>P</t>
  </si>
  <si>
    <t>P%</t>
  </si>
  <si>
    <t>RW</t>
  </si>
  <si>
    <t>ROW</t>
  </si>
  <si>
    <t>S/O Win</t>
  </si>
  <si>
    <t>GF</t>
  </si>
  <si>
    <t>GA</t>
  </si>
  <si>
    <t>GF/GP</t>
  </si>
  <si>
    <t>GA/GP</t>
  </si>
  <si>
    <t>SO</t>
  </si>
  <si>
    <t>PP%</t>
  </si>
  <si>
    <t>PK%</t>
  </si>
  <si>
    <t>Net PP%</t>
  </si>
  <si>
    <t>Net PK%</t>
  </si>
  <si>
    <t>Shots/GP</t>
  </si>
  <si>
    <t>SA/GP</t>
  </si>
  <si>
    <t>FOW%</t>
  </si>
  <si>
    <t>Chicago Blackhawks</t>
  </si>
  <si>
    <t>2026-01-25</t>
  </si>
  <si>
    <t>--</t>
  </si>
  <si>
    <t>2025-10-17</t>
  </si>
  <si>
    <t>2025-10-19</t>
  </si>
  <si>
    <t>2025-12-13</t>
  </si>
  <si>
    <t>2025-11-21</t>
  </si>
  <si>
    <t>2026-03-20</t>
  </si>
  <si>
    <t>2026-01-10</t>
  </si>
  <si>
    <t>2025-11-28</t>
  </si>
  <si>
    <t>2026-03-19</t>
  </si>
  <si>
    <t>2026-01-17</t>
  </si>
  <si>
    <t>2025-11-09</t>
  </si>
  <si>
    <t>2025-12-18</t>
  </si>
  <si>
    <t>2025-10-09</t>
  </si>
  <si>
    <t>2026-04-04</t>
  </si>
  <si>
    <t>2025-10-07</t>
  </si>
  <si>
    <t>2025-10-30</t>
  </si>
  <si>
    <t>2026-03-06</t>
  </si>
  <si>
    <t>2025-11-05</t>
  </si>
  <si>
    <t>2026-02-04</t>
  </si>
  <si>
    <t>2025-12-30</t>
  </si>
  <si>
    <t>2026-01-30</t>
  </si>
  <si>
    <t>2026-03-09</t>
  </si>
  <si>
    <t>2026-03-29</t>
  </si>
  <si>
    <t>2026-03-31</t>
  </si>
  <si>
    <t>2026-03-17</t>
  </si>
  <si>
    <t>2025-11-23</t>
  </si>
  <si>
    <t>2025-11-12</t>
  </si>
  <si>
    <t>2025-12-07</t>
  </si>
  <si>
    <t>2026-03-12</t>
  </si>
  <si>
    <t>2025-12-04</t>
  </si>
  <si>
    <t>2026-01-15</t>
  </si>
  <si>
    <t>2025-12-20</t>
  </si>
  <si>
    <t>2026-01-04</t>
  </si>
  <si>
    <t>2026-03-08</t>
  </si>
  <si>
    <t>2025-11-03</t>
  </si>
  <si>
    <t>2025-12-10</t>
  </si>
  <si>
    <t>2025-12-16</t>
  </si>
  <si>
    <t>2025-12-27</t>
  </si>
  <si>
    <t>2026-04-09</t>
  </si>
  <si>
    <t>2026-02-28</t>
  </si>
  <si>
    <t>2026-04-02</t>
  </si>
  <si>
    <t>2026-01-19</t>
  </si>
  <si>
    <t>2026-03-27</t>
  </si>
  <si>
    <t>2025-10-11</t>
  </si>
  <si>
    <t>2026-04-13</t>
  </si>
  <si>
    <t>2025-12-06</t>
  </si>
  <si>
    <t>2026-01-22</t>
  </si>
  <si>
    <t>2025-11-26</t>
  </si>
  <si>
    <t>2025-12-12</t>
  </si>
  <si>
    <t>2025-11-01</t>
  </si>
  <si>
    <t>2025-10-15</t>
  </si>
  <si>
    <t>2026-01-27</t>
  </si>
  <si>
    <t>2026-04-11</t>
  </si>
  <si>
    <t>2025-12-28</t>
  </si>
  <si>
    <t>2026-01-12</t>
  </si>
  <si>
    <t>2025-11-30</t>
  </si>
  <si>
    <t>2026-03-01</t>
  </si>
  <si>
    <t>2025-12-23</t>
  </si>
  <si>
    <t>2026-01-23</t>
  </si>
  <si>
    <t>2025-12-02</t>
  </si>
  <si>
    <t>2025-11-18</t>
  </si>
  <si>
    <t>2026-01-01</t>
  </si>
  <si>
    <t>2025-10-13</t>
  </si>
  <si>
    <t>2025-10-23</t>
  </si>
  <si>
    <t>2025-11-07</t>
  </si>
  <si>
    <t>2026-01-09</t>
  </si>
  <si>
    <t>2026-03-24</t>
  </si>
  <si>
    <t>2025-11-15</t>
  </si>
  <si>
    <t>2026-02-26</t>
  </si>
  <si>
    <t>2025-11-20</t>
  </si>
  <si>
    <t>2026-04-15</t>
  </si>
  <si>
    <t>2025-10-26</t>
  </si>
  <si>
    <t>2026-04-06</t>
  </si>
  <si>
    <t>2026-03-03</t>
  </si>
  <si>
    <t>2026-03-22</t>
  </si>
  <si>
    <t>2026-03-26</t>
  </si>
  <si>
    <t>2026-01-29</t>
  </si>
  <si>
    <t>2026-02-02</t>
  </si>
  <si>
    <t>2026-01-07</t>
  </si>
  <si>
    <t>2026-01-03</t>
  </si>
  <si>
    <t>2025-10-28</t>
  </si>
  <si>
    <t>2026-03-14</t>
  </si>
  <si>
    <t>AVG Goals in Wins</t>
  </si>
  <si>
    <t>Average Goals in Losses</t>
  </si>
  <si>
    <t>Average Goals Against in Win</t>
  </si>
  <si>
    <t>Average Goals Against in Loss</t>
  </si>
  <si>
    <t>Month</t>
  </si>
  <si>
    <t>Games</t>
  </si>
  <si>
    <t>Avg GF</t>
  </si>
  <si>
    <t>Avg GA</t>
  </si>
  <si>
    <t>Goal Differential</t>
  </si>
  <si>
    <t>Win %</t>
  </si>
  <si>
    <t>November</t>
  </si>
  <si>
    <t>December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</si>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</sst>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  <xf numFmtId="17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9"/>
  <sheetViews>
    <sheetView tabSelected="1" topLeftCell="A54" workbookViewId="0">
      <selection activeCell="C11" sqref="C11"/>
    </sheetView>
  </sheetViews>
  <sheetFormatPr defaultRowHeight="15" x14ac:dyDescent="0.25"/>
  <cols>
    <col min="1" max="1" width="25.875" bestFit="1" customWidth="1"/>
    <col min="2" max="2" width="10.125" bestFit="1" customWidth="1"/>
  </cols>
  <sheetData>
    <row r="1" spans="1:24" ht="15.75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s="1" t="s">
        <v>40</v>
      </c>
      <c r="C2">
        <v>1</v>
      </c>
      <c r="D2" s="1">
        <v>0</v>
      </c>
      <c r="E2" s="1">
        <v>1</v>
      </c>
      <c r="F2" t="s">
        <v>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2</v>
      </c>
      <c r="N2" s="1">
        <v>3</v>
      </c>
      <c r="O2">
        <v>2</v>
      </c>
      <c r="P2">
        <v>3</v>
      </c>
      <c r="Q2">
        <v>0</v>
      </c>
      <c r="R2" t="s">
        <v>26</v>
      </c>
      <c r="S2">
        <v>50</v>
      </c>
      <c r="T2" t="s">
        <v>26</v>
      </c>
      <c r="U2">
        <v>50</v>
      </c>
      <c r="V2">
        <v>19</v>
      </c>
      <c r="W2">
        <v>37</v>
      </c>
      <c r="X2">
        <v>41.4</v>
      </c>
    </row>
    <row r="3" spans="1:24" ht="15.75" x14ac:dyDescent="0.25">
      <c r="A3" t="s">
        <v>24</v>
      </c>
      <c r="B3" s="1" t="s">
        <v>38</v>
      </c>
      <c r="C3">
        <v>1</v>
      </c>
      <c r="D3" s="1">
        <v>0</v>
      </c>
      <c r="E3" s="1">
        <v>0</v>
      </c>
      <c r="F3" t="s">
        <v>26</v>
      </c>
      <c r="G3">
        <v>1</v>
      </c>
      <c r="H3">
        <v>1</v>
      </c>
      <c r="I3">
        <v>0.5</v>
      </c>
      <c r="J3">
        <v>0</v>
      </c>
      <c r="K3">
        <v>0</v>
      </c>
      <c r="L3">
        <v>0</v>
      </c>
      <c r="M3" s="1">
        <v>3</v>
      </c>
      <c r="N3" s="1">
        <v>4</v>
      </c>
      <c r="O3">
        <v>3</v>
      </c>
      <c r="P3">
        <v>4</v>
      </c>
      <c r="Q3">
        <v>0</v>
      </c>
      <c r="R3" t="s">
        <v>26</v>
      </c>
      <c r="S3">
        <v>80</v>
      </c>
      <c r="T3" t="s">
        <v>26</v>
      </c>
      <c r="U3">
        <v>80</v>
      </c>
      <c r="V3">
        <v>24</v>
      </c>
      <c r="W3">
        <v>33</v>
      </c>
      <c r="X3">
        <v>41.5</v>
      </c>
    </row>
    <row r="4" spans="1:24" ht="15.75" x14ac:dyDescent="0.25">
      <c r="A4" t="s">
        <v>24</v>
      </c>
      <c r="B4" s="1" t="s">
        <v>69</v>
      </c>
      <c r="C4">
        <v>1</v>
      </c>
      <c r="D4" s="1">
        <v>0</v>
      </c>
      <c r="E4" s="1">
        <v>1</v>
      </c>
      <c r="F4" t="s">
        <v>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2</v>
      </c>
      <c r="N4" s="1">
        <v>3</v>
      </c>
      <c r="O4">
        <v>2</v>
      </c>
      <c r="P4">
        <v>3</v>
      </c>
      <c r="Q4">
        <v>0</v>
      </c>
      <c r="R4">
        <v>25</v>
      </c>
      <c r="S4">
        <v>80</v>
      </c>
      <c r="T4">
        <v>25</v>
      </c>
      <c r="U4">
        <v>80</v>
      </c>
      <c r="V4">
        <v>22</v>
      </c>
      <c r="W4">
        <v>28</v>
      </c>
      <c r="X4">
        <v>38.5</v>
      </c>
    </row>
    <row r="5" spans="1:24" ht="15.75" x14ac:dyDescent="0.25">
      <c r="A5" t="s">
        <v>24</v>
      </c>
      <c r="B5" s="1" t="s">
        <v>88</v>
      </c>
      <c r="C5">
        <v>1</v>
      </c>
      <c r="D5" s="1">
        <v>1</v>
      </c>
      <c r="E5" s="1">
        <v>0</v>
      </c>
      <c r="F5" t="s">
        <v>26</v>
      </c>
      <c r="G5">
        <v>0</v>
      </c>
      <c r="H5">
        <v>2</v>
      </c>
      <c r="I5">
        <v>1</v>
      </c>
      <c r="J5">
        <v>1</v>
      </c>
      <c r="K5">
        <v>1</v>
      </c>
      <c r="L5">
        <v>0</v>
      </c>
      <c r="M5" s="1">
        <v>3</v>
      </c>
      <c r="N5" s="1">
        <v>1</v>
      </c>
      <c r="O5">
        <v>3</v>
      </c>
      <c r="P5">
        <v>1</v>
      </c>
      <c r="Q5">
        <v>0</v>
      </c>
      <c r="R5">
        <v>33.299999999999997</v>
      </c>
      <c r="S5">
        <v>100</v>
      </c>
      <c r="T5">
        <v>33.299999999999997</v>
      </c>
      <c r="U5">
        <v>100</v>
      </c>
      <c r="V5">
        <v>14</v>
      </c>
      <c r="W5">
        <v>22</v>
      </c>
      <c r="X5">
        <v>45.3</v>
      </c>
    </row>
    <row r="6" spans="1:24" ht="15.75" x14ac:dyDescent="0.25">
      <c r="A6" t="s">
        <v>24</v>
      </c>
      <c r="B6" s="1" t="s">
        <v>76</v>
      </c>
      <c r="C6">
        <v>1</v>
      </c>
      <c r="D6" s="1">
        <v>1</v>
      </c>
      <c r="E6" s="1">
        <v>0</v>
      </c>
      <c r="F6" t="s">
        <v>26</v>
      </c>
      <c r="G6">
        <v>0</v>
      </c>
      <c r="H6">
        <v>2</v>
      </c>
      <c r="I6">
        <v>1</v>
      </c>
      <c r="J6">
        <v>1</v>
      </c>
      <c r="K6">
        <v>1</v>
      </c>
      <c r="L6">
        <v>0</v>
      </c>
      <c r="M6" s="1">
        <v>8</v>
      </c>
      <c r="N6" s="1">
        <v>3</v>
      </c>
      <c r="O6">
        <v>8</v>
      </c>
      <c r="P6">
        <v>3</v>
      </c>
      <c r="Q6">
        <v>0</v>
      </c>
      <c r="R6">
        <v>33.299999999999997</v>
      </c>
      <c r="S6">
        <v>100</v>
      </c>
      <c r="T6">
        <v>33.299999999999997</v>
      </c>
      <c r="U6">
        <v>100</v>
      </c>
      <c r="V6">
        <v>29</v>
      </c>
      <c r="W6">
        <v>26</v>
      </c>
      <c r="X6">
        <v>55.6</v>
      </c>
    </row>
    <row r="7" spans="1:24" ht="15.75" x14ac:dyDescent="0.25">
      <c r="A7" t="s">
        <v>24</v>
      </c>
      <c r="B7" s="1" t="s">
        <v>27</v>
      </c>
      <c r="C7">
        <v>1</v>
      </c>
      <c r="D7" s="1">
        <v>0</v>
      </c>
      <c r="E7" s="1">
        <v>0</v>
      </c>
      <c r="F7" t="s">
        <v>26</v>
      </c>
      <c r="G7">
        <v>1</v>
      </c>
      <c r="H7">
        <v>1</v>
      </c>
      <c r="I7">
        <v>0.5</v>
      </c>
      <c r="J7">
        <v>0</v>
      </c>
      <c r="K7">
        <v>0</v>
      </c>
      <c r="L7">
        <v>0</v>
      </c>
      <c r="M7" s="1">
        <v>2</v>
      </c>
      <c r="N7" s="1">
        <v>2</v>
      </c>
      <c r="O7">
        <v>2</v>
      </c>
      <c r="P7">
        <v>2</v>
      </c>
      <c r="Q7">
        <v>0</v>
      </c>
      <c r="R7">
        <v>33.299999999999997</v>
      </c>
      <c r="S7">
        <v>83.3</v>
      </c>
      <c r="T7">
        <v>33.299999999999997</v>
      </c>
      <c r="U7">
        <v>83.3</v>
      </c>
      <c r="V7">
        <v>33</v>
      </c>
      <c r="W7">
        <v>32</v>
      </c>
      <c r="X7">
        <v>58.2</v>
      </c>
    </row>
    <row r="8" spans="1:24" ht="15.75" x14ac:dyDescent="0.25">
      <c r="A8" t="s">
        <v>24</v>
      </c>
      <c r="B8" s="1" t="s">
        <v>28</v>
      </c>
      <c r="C8">
        <v>1</v>
      </c>
      <c r="D8" s="1">
        <v>1</v>
      </c>
      <c r="E8" s="1">
        <v>0</v>
      </c>
      <c r="F8" t="s">
        <v>26</v>
      </c>
      <c r="G8">
        <v>0</v>
      </c>
      <c r="H8">
        <v>2</v>
      </c>
      <c r="I8">
        <v>1</v>
      </c>
      <c r="J8">
        <v>0</v>
      </c>
      <c r="K8">
        <v>1</v>
      </c>
      <c r="L8">
        <v>0</v>
      </c>
      <c r="M8" s="1">
        <v>2</v>
      </c>
      <c r="N8" s="1">
        <v>1</v>
      </c>
      <c r="O8">
        <v>2</v>
      </c>
      <c r="P8">
        <v>1</v>
      </c>
      <c r="Q8">
        <v>0</v>
      </c>
      <c r="R8" t="s">
        <v>26</v>
      </c>
      <c r="S8">
        <v>80</v>
      </c>
      <c r="T8" t="s">
        <v>26</v>
      </c>
      <c r="U8">
        <v>80</v>
      </c>
      <c r="V8">
        <v>30</v>
      </c>
      <c r="W8">
        <v>39</v>
      </c>
      <c r="X8">
        <v>55.6</v>
      </c>
    </row>
    <row r="9" spans="1:24" ht="15.75" x14ac:dyDescent="0.25">
      <c r="A9" t="s">
        <v>24</v>
      </c>
      <c r="B9" s="1" t="s">
        <v>89</v>
      </c>
      <c r="C9">
        <v>1</v>
      </c>
      <c r="D9" s="1">
        <v>1</v>
      </c>
      <c r="E9" s="1">
        <v>0</v>
      </c>
      <c r="F9" t="s">
        <v>26</v>
      </c>
      <c r="G9">
        <v>0</v>
      </c>
      <c r="H9">
        <v>2</v>
      </c>
      <c r="I9">
        <v>1</v>
      </c>
      <c r="J9">
        <v>1</v>
      </c>
      <c r="K9">
        <v>1</v>
      </c>
      <c r="L9">
        <v>0</v>
      </c>
      <c r="M9" s="1">
        <v>3</v>
      </c>
      <c r="N9" s="1">
        <v>2</v>
      </c>
      <c r="O9">
        <v>3</v>
      </c>
      <c r="P9">
        <v>2</v>
      </c>
      <c r="Q9">
        <v>0</v>
      </c>
      <c r="R9">
        <v>20</v>
      </c>
      <c r="S9">
        <v>100</v>
      </c>
      <c r="T9">
        <v>20</v>
      </c>
      <c r="U9">
        <v>100</v>
      </c>
      <c r="V9">
        <v>25</v>
      </c>
      <c r="W9">
        <v>31</v>
      </c>
      <c r="X9">
        <v>39.200000000000003</v>
      </c>
    </row>
    <row r="10" spans="1:24" ht="15.75" x14ac:dyDescent="0.25">
      <c r="A10" t="s">
        <v>24</v>
      </c>
      <c r="B10" s="1" t="s">
        <v>97</v>
      </c>
      <c r="C10">
        <v>1</v>
      </c>
      <c r="D10" s="1">
        <v>0</v>
      </c>
      <c r="E10" s="1">
        <v>1</v>
      </c>
      <c r="F10" t="s">
        <v>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1</v>
      </c>
      <c r="N10" s="1">
        <v>3</v>
      </c>
      <c r="O10">
        <v>1</v>
      </c>
      <c r="P10">
        <v>3</v>
      </c>
      <c r="Q10">
        <v>0</v>
      </c>
      <c r="R10" t="s">
        <v>26</v>
      </c>
      <c r="S10">
        <v>100</v>
      </c>
      <c r="T10">
        <v>-20</v>
      </c>
      <c r="U10">
        <v>100</v>
      </c>
      <c r="V10">
        <v>23</v>
      </c>
      <c r="W10">
        <v>22</v>
      </c>
      <c r="X10">
        <v>55.6</v>
      </c>
    </row>
    <row r="11" spans="1:24" ht="15.75" x14ac:dyDescent="0.25">
      <c r="A11" t="s">
        <v>24</v>
      </c>
      <c r="B11" s="1" t="s">
        <v>106</v>
      </c>
      <c r="C11">
        <v>1</v>
      </c>
      <c r="D11" s="1">
        <v>1</v>
      </c>
      <c r="E11" s="1">
        <v>0</v>
      </c>
      <c r="F11" t="s">
        <v>26</v>
      </c>
      <c r="G11">
        <v>0</v>
      </c>
      <c r="H11">
        <v>2</v>
      </c>
      <c r="I11">
        <v>1</v>
      </c>
      <c r="J11">
        <v>1</v>
      </c>
      <c r="K11">
        <v>1</v>
      </c>
      <c r="L11">
        <v>0</v>
      </c>
      <c r="M11" s="1">
        <v>7</v>
      </c>
      <c r="N11" s="1">
        <v>3</v>
      </c>
      <c r="O11">
        <v>7</v>
      </c>
      <c r="P11">
        <v>3</v>
      </c>
      <c r="Q11">
        <v>0</v>
      </c>
      <c r="R11">
        <v>100</v>
      </c>
      <c r="S11">
        <v>100</v>
      </c>
      <c r="T11">
        <v>100</v>
      </c>
      <c r="U11">
        <v>125</v>
      </c>
      <c r="V11">
        <v>26</v>
      </c>
      <c r="W11">
        <v>24</v>
      </c>
      <c r="X11">
        <v>43.8</v>
      </c>
    </row>
    <row r="12" spans="1:24" ht="15.75" x14ac:dyDescent="0.25">
      <c r="A12" t="s">
        <v>24</v>
      </c>
      <c r="B12" s="1" t="s">
        <v>41</v>
      </c>
      <c r="C12">
        <v>1</v>
      </c>
      <c r="D12" s="1">
        <v>0</v>
      </c>
      <c r="E12" s="1">
        <v>1</v>
      </c>
      <c r="F12" t="s">
        <v>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3</v>
      </c>
      <c r="N12" s="1">
        <v>6</v>
      </c>
      <c r="O12">
        <v>3</v>
      </c>
      <c r="P12">
        <v>6</v>
      </c>
      <c r="Q12">
        <v>0</v>
      </c>
      <c r="R12" t="s">
        <v>26</v>
      </c>
      <c r="S12">
        <v>66.7</v>
      </c>
      <c r="T12" t="s">
        <v>26</v>
      </c>
      <c r="U12">
        <v>66.7</v>
      </c>
      <c r="V12">
        <v>24</v>
      </c>
      <c r="W12">
        <v>32</v>
      </c>
      <c r="X12">
        <v>43.4</v>
      </c>
    </row>
    <row r="13" spans="1:24" ht="15.75" x14ac:dyDescent="0.25">
      <c r="A13" t="s">
        <v>24</v>
      </c>
      <c r="B13" s="1" t="s">
        <v>75</v>
      </c>
      <c r="C13">
        <v>1</v>
      </c>
      <c r="D13" s="1">
        <v>0</v>
      </c>
      <c r="E13" s="1">
        <v>0</v>
      </c>
      <c r="F13" t="s">
        <v>26</v>
      </c>
      <c r="G13">
        <v>1</v>
      </c>
      <c r="H13">
        <v>1</v>
      </c>
      <c r="I13">
        <v>0.5</v>
      </c>
      <c r="J13">
        <v>0</v>
      </c>
      <c r="K13">
        <v>0</v>
      </c>
      <c r="L13">
        <v>0</v>
      </c>
      <c r="M13" s="1">
        <v>2</v>
      </c>
      <c r="N13" s="1">
        <v>3</v>
      </c>
      <c r="O13">
        <v>2</v>
      </c>
      <c r="P13">
        <v>3</v>
      </c>
      <c r="Q13">
        <v>0</v>
      </c>
      <c r="R13">
        <v>100</v>
      </c>
      <c r="S13">
        <v>33.299999999999997</v>
      </c>
      <c r="T13">
        <v>100</v>
      </c>
      <c r="U13">
        <v>33.299999999999997</v>
      </c>
      <c r="V13">
        <v>29</v>
      </c>
      <c r="W13">
        <v>30</v>
      </c>
      <c r="X13">
        <v>44.4</v>
      </c>
    </row>
    <row r="14" spans="1:24" ht="15.75" x14ac:dyDescent="0.25">
      <c r="A14" t="s">
        <v>24</v>
      </c>
      <c r="B14" s="1" t="s">
        <v>60</v>
      </c>
      <c r="C14">
        <v>1</v>
      </c>
      <c r="D14" s="1">
        <v>0</v>
      </c>
      <c r="E14" s="1">
        <v>1</v>
      </c>
      <c r="F14" t="s">
        <v>26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1</v>
      </c>
      <c r="N14" s="1">
        <v>3</v>
      </c>
      <c r="O14">
        <v>1</v>
      </c>
      <c r="P14">
        <v>3</v>
      </c>
      <c r="Q14">
        <v>0</v>
      </c>
      <c r="R14" t="s">
        <v>26</v>
      </c>
      <c r="S14">
        <v>50</v>
      </c>
      <c r="T14" t="s">
        <v>26</v>
      </c>
      <c r="U14">
        <v>50</v>
      </c>
      <c r="V14">
        <v>30</v>
      </c>
      <c r="W14">
        <v>24</v>
      </c>
      <c r="X14">
        <v>57.9</v>
      </c>
    </row>
    <row r="15" spans="1:24" ht="15.75" x14ac:dyDescent="0.25">
      <c r="A15" t="s">
        <v>24</v>
      </c>
      <c r="B15" s="1" t="s">
        <v>43</v>
      </c>
      <c r="C15">
        <v>1</v>
      </c>
      <c r="D15" s="1">
        <v>1</v>
      </c>
      <c r="E15" s="1">
        <v>0</v>
      </c>
      <c r="F15" t="s">
        <v>26</v>
      </c>
      <c r="G15">
        <v>0</v>
      </c>
      <c r="H15">
        <v>2</v>
      </c>
      <c r="I15">
        <v>1</v>
      </c>
      <c r="J15">
        <v>1</v>
      </c>
      <c r="K15">
        <v>1</v>
      </c>
      <c r="L15">
        <v>0</v>
      </c>
      <c r="M15" s="1">
        <v>5</v>
      </c>
      <c r="N15" s="1">
        <v>2</v>
      </c>
      <c r="O15">
        <v>5</v>
      </c>
      <c r="P15">
        <v>2</v>
      </c>
      <c r="Q15">
        <v>0</v>
      </c>
      <c r="R15">
        <v>100</v>
      </c>
      <c r="S15">
        <v>100</v>
      </c>
      <c r="T15">
        <v>100</v>
      </c>
      <c r="U15">
        <v>100</v>
      </c>
      <c r="V15">
        <v>28</v>
      </c>
      <c r="W15">
        <v>45</v>
      </c>
      <c r="X15">
        <v>44.4</v>
      </c>
    </row>
    <row r="16" spans="1:24" ht="15.75" x14ac:dyDescent="0.25">
      <c r="A16" t="s">
        <v>24</v>
      </c>
      <c r="B16" s="1" t="s">
        <v>90</v>
      </c>
      <c r="C16">
        <v>1</v>
      </c>
      <c r="D16" s="1">
        <v>1</v>
      </c>
      <c r="E16" s="1">
        <v>0</v>
      </c>
      <c r="F16" t="s">
        <v>26</v>
      </c>
      <c r="G16">
        <v>0</v>
      </c>
      <c r="H16">
        <v>2</v>
      </c>
      <c r="I16">
        <v>1</v>
      </c>
      <c r="J16">
        <v>1</v>
      </c>
      <c r="K16">
        <v>1</v>
      </c>
      <c r="L16">
        <v>0</v>
      </c>
      <c r="M16" s="1">
        <v>4</v>
      </c>
      <c r="N16" s="1">
        <v>0</v>
      </c>
      <c r="O16">
        <v>4</v>
      </c>
      <c r="P16">
        <v>0</v>
      </c>
      <c r="Q16">
        <v>1</v>
      </c>
      <c r="R16">
        <v>33.299999999999997</v>
      </c>
      <c r="S16">
        <v>100</v>
      </c>
      <c r="T16">
        <v>33.299999999999997</v>
      </c>
      <c r="U16">
        <v>100</v>
      </c>
      <c r="V16">
        <v>27</v>
      </c>
      <c r="W16">
        <v>33</v>
      </c>
      <c r="X16">
        <v>41.7</v>
      </c>
    </row>
    <row r="17" spans="1:24" ht="15.75" x14ac:dyDescent="0.25">
      <c r="A17" t="s">
        <v>24</v>
      </c>
      <c r="B17" s="1" t="s">
        <v>36</v>
      </c>
      <c r="C17">
        <v>1</v>
      </c>
      <c r="D17" s="1">
        <v>1</v>
      </c>
      <c r="E17" s="1">
        <v>0</v>
      </c>
      <c r="F17" t="s">
        <v>26</v>
      </c>
      <c r="G17">
        <v>0</v>
      </c>
      <c r="H17">
        <v>2</v>
      </c>
      <c r="I17">
        <v>1</v>
      </c>
      <c r="J17">
        <v>1</v>
      </c>
      <c r="K17">
        <v>1</v>
      </c>
      <c r="L17">
        <v>0</v>
      </c>
      <c r="M17" s="1">
        <v>5</v>
      </c>
      <c r="N17" s="1">
        <v>1</v>
      </c>
      <c r="O17">
        <v>5</v>
      </c>
      <c r="P17">
        <v>1</v>
      </c>
      <c r="Q17">
        <v>0</v>
      </c>
      <c r="R17">
        <v>100</v>
      </c>
      <c r="S17">
        <v>100</v>
      </c>
      <c r="T17">
        <v>100</v>
      </c>
      <c r="U17">
        <v>100</v>
      </c>
      <c r="V17">
        <v>20</v>
      </c>
      <c r="W17">
        <v>46</v>
      </c>
      <c r="X17">
        <v>48.4</v>
      </c>
    </row>
    <row r="18" spans="1:24" ht="15.75" x14ac:dyDescent="0.25">
      <c r="A18" t="s">
        <v>24</v>
      </c>
      <c r="B18" s="1" t="s">
        <v>52</v>
      </c>
      <c r="C18">
        <v>1</v>
      </c>
      <c r="D18" s="1">
        <v>0</v>
      </c>
      <c r="E18" s="1">
        <v>0</v>
      </c>
      <c r="F18" t="s">
        <v>26</v>
      </c>
      <c r="G18">
        <v>1</v>
      </c>
      <c r="H18">
        <v>1</v>
      </c>
      <c r="I18">
        <v>0.5</v>
      </c>
      <c r="J18">
        <v>0</v>
      </c>
      <c r="K18">
        <v>0</v>
      </c>
      <c r="L18">
        <v>0</v>
      </c>
      <c r="M18" s="1">
        <v>3</v>
      </c>
      <c r="N18" s="1">
        <v>4</v>
      </c>
      <c r="O18">
        <v>3</v>
      </c>
      <c r="P18">
        <v>4</v>
      </c>
      <c r="Q18">
        <v>0</v>
      </c>
      <c r="R18">
        <v>33.299999999999997</v>
      </c>
      <c r="S18">
        <v>100</v>
      </c>
      <c r="T18">
        <v>33.299999999999997</v>
      </c>
      <c r="U18">
        <v>100</v>
      </c>
      <c r="V18">
        <v>20</v>
      </c>
      <c r="W18">
        <v>37</v>
      </c>
      <c r="X18">
        <v>42.6</v>
      </c>
    </row>
    <row r="19" spans="1:24" ht="15.75" x14ac:dyDescent="0.25">
      <c r="A19" t="s">
        <v>24</v>
      </c>
      <c r="B19" s="1" t="s">
        <v>93</v>
      </c>
      <c r="C19">
        <v>1</v>
      </c>
      <c r="D19" s="1">
        <v>1</v>
      </c>
      <c r="E19" s="1">
        <v>0</v>
      </c>
      <c r="F19" t="s">
        <v>26</v>
      </c>
      <c r="G19">
        <v>0</v>
      </c>
      <c r="H19">
        <v>2</v>
      </c>
      <c r="I19">
        <v>1</v>
      </c>
      <c r="J19">
        <v>1</v>
      </c>
      <c r="K19">
        <v>1</v>
      </c>
      <c r="L19">
        <v>0</v>
      </c>
      <c r="M19" s="1">
        <v>3</v>
      </c>
      <c r="N19" s="1">
        <v>2</v>
      </c>
      <c r="O19">
        <v>3</v>
      </c>
      <c r="P19">
        <v>2</v>
      </c>
      <c r="Q19">
        <v>0</v>
      </c>
      <c r="R19" t="s">
        <v>26</v>
      </c>
      <c r="S19">
        <v>100</v>
      </c>
      <c r="T19" t="s">
        <v>26</v>
      </c>
      <c r="U19">
        <v>100</v>
      </c>
      <c r="V19">
        <v>32</v>
      </c>
      <c r="W19">
        <v>33</v>
      </c>
      <c r="X19">
        <v>38.9</v>
      </c>
    </row>
    <row r="20" spans="1:24" ht="15.75" x14ac:dyDescent="0.25">
      <c r="A20" t="s">
        <v>24</v>
      </c>
      <c r="B20" s="1" t="s">
        <v>86</v>
      </c>
      <c r="C20">
        <v>1</v>
      </c>
      <c r="D20" s="1">
        <v>1</v>
      </c>
      <c r="E20" s="1">
        <v>0</v>
      </c>
      <c r="F20" t="s">
        <v>26</v>
      </c>
      <c r="G20">
        <v>0</v>
      </c>
      <c r="H20">
        <v>2</v>
      </c>
      <c r="I20">
        <v>1</v>
      </c>
      <c r="J20">
        <v>1</v>
      </c>
      <c r="K20">
        <v>1</v>
      </c>
      <c r="L20">
        <v>0</v>
      </c>
      <c r="M20" s="1">
        <v>5</v>
      </c>
      <c r="N20" s="1">
        <v>2</v>
      </c>
      <c r="O20">
        <v>5</v>
      </c>
      <c r="P20">
        <v>2</v>
      </c>
      <c r="Q20">
        <v>0</v>
      </c>
      <c r="R20" t="s">
        <v>26</v>
      </c>
      <c r="S20">
        <v>75</v>
      </c>
      <c r="T20" t="s">
        <v>26</v>
      </c>
      <c r="U20">
        <v>75</v>
      </c>
      <c r="V20">
        <v>23</v>
      </c>
      <c r="W20">
        <v>21</v>
      </c>
      <c r="X20">
        <v>44.1</v>
      </c>
    </row>
    <row r="21" spans="1:24" ht="15.75" x14ac:dyDescent="0.25">
      <c r="A21" t="s">
        <v>24</v>
      </c>
      <c r="B21" s="1" t="s">
        <v>95</v>
      </c>
      <c r="C21">
        <v>1</v>
      </c>
      <c r="D21" s="1">
        <v>0</v>
      </c>
      <c r="E21" s="1">
        <v>1</v>
      </c>
      <c r="F21" t="s">
        <v>26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1">
        <v>2</v>
      </c>
      <c r="N21" s="1">
        <v>3</v>
      </c>
      <c r="O21">
        <v>2</v>
      </c>
      <c r="P21">
        <v>3</v>
      </c>
      <c r="Q21">
        <v>0</v>
      </c>
      <c r="R21">
        <v>50</v>
      </c>
      <c r="S21">
        <v>66.7</v>
      </c>
      <c r="T21">
        <v>50</v>
      </c>
      <c r="U21">
        <v>66.7</v>
      </c>
      <c r="V21">
        <v>24</v>
      </c>
      <c r="W21">
        <v>27</v>
      </c>
      <c r="X21">
        <v>49</v>
      </c>
    </row>
    <row r="22" spans="1:24" ht="15.75" x14ac:dyDescent="0.25">
      <c r="A22" t="s">
        <v>24</v>
      </c>
      <c r="B22" s="1" t="s">
        <v>30</v>
      </c>
      <c r="C22">
        <v>1</v>
      </c>
      <c r="D22" s="1">
        <v>0</v>
      </c>
      <c r="E22" s="1">
        <v>1</v>
      </c>
      <c r="F22" t="s">
        <v>26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>
        <v>3</v>
      </c>
      <c r="N22" s="1">
        <v>9</v>
      </c>
      <c r="O22">
        <v>3</v>
      </c>
      <c r="P22">
        <v>9</v>
      </c>
      <c r="Q22">
        <v>0</v>
      </c>
      <c r="R22">
        <v>50</v>
      </c>
      <c r="S22">
        <v>50</v>
      </c>
      <c r="T22">
        <v>50</v>
      </c>
      <c r="U22">
        <v>50</v>
      </c>
      <c r="V22">
        <v>23</v>
      </c>
      <c r="W22">
        <v>31</v>
      </c>
      <c r="X22">
        <v>40.700000000000003</v>
      </c>
    </row>
    <row r="23" spans="1:24" ht="15.75" x14ac:dyDescent="0.25">
      <c r="A23" t="s">
        <v>24</v>
      </c>
      <c r="B23" s="1" t="s">
        <v>51</v>
      </c>
      <c r="C23">
        <v>1</v>
      </c>
      <c r="D23" s="1">
        <v>0</v>
      </c>
      <c r="E23" s="1">
        <v>1</v>
      </c>
      <c r="F23" t="s">
        <v>26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0</v>
      </c>
      <c r="N23" s="1">
        <v>1</v>
      </c>
      <c r="O23">
        <v>0</v>
      </c>
      <c r="P23">
        <v>1</v>
      </c>
      <c r="Q23">
        <v>0</v>
      </c>
      <c r="R23" t="s">
        <v>26</v>
      </c>
      <c r="S23">
        <v>100</v>
      </c>
      <c r="T23" t="s">
        <v>26</v>
      </c>
      <c r="U23">
        <v>100</v>
      </c>
      <c r="V23">
        <v>22</v>
      </c>
      <c r="W23">
        <v>26</v>
      </c>
      <c r="X23">
        <v>56.9</v>
      </c>
    </row>
    <row r="24" spans="1:24" ht="15.75" x14ac:dyDescent="0.25">
      <c r="A24" t="s">
        <v>24</v>
      </c>
      <c r="B24" s="1" t="s">
        <v>73</v>
      </c>
      <c r="C24">
        <v>1</v>
      </c>
      <c r="D24" s="1">
        <v>0</v>
      </c>
      <c r="E24" s="1">
        <v>0</v>
      </c>
      <c r="F24" t="s">
        <v>26</v>
      </c>
      <c r="G24">
        <v>1</v>
      </c>
      <c r="H24">
        <v>1</v>
      </c>
      <c r="I24">
        <v>0.5</v>
      </c>
      <c r="J24">
        <v>0</v>
      </c>
      <c r="K24">
        <v>0</v>
      </c>
      <c r="L24">
        <v>0</v>
      </c>
      <c r="M24" s="1">
        <v>3</v>
      </c>
      <c r="N24" s="1">
        <v>4</v>
      </c>
      <c r="O24">
        <v>3</v>
      </c>
      <c r="P24">
        <v>4</v>
      </c>
      <c r="Q24">
        <v>0</v>
      </c>
      <c r="R24" t="s">
        <v>26</v>
      </c>
      <c r="S24">
        <v>80</v>
      </c>
      <c r="T24" t="s">
        <v>26</v>
      </c>
      <c r="U24">
        <v>80</v>
      </c>
      <c r="V24">
        <v>37</v>
      </c>
      <c r="W24">
        <v>24</v>
      </c>
      <c r="X24">
        <v>56.1</v>
      </c>
    </row>
    <row r="25" spans="1:24" ht="15.75" x14ac:dyDescent="0.25">
      <c r="A25" t="s">
        <v>24</v>
      </c>
      <c r="B25" s="1" t="s">
        <v>33</v>
      </c>
      <c r="C25">
        <v>1</v>
      </c>
      <c r="D25" s="1">
        <v>0</v>
      </c>
      <c r="E25" s="1">
        <v>1</v>
      </c>
      <c r="F25" t="s">
        <v>26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s="1">
        <v>3</v>
      </c>
      <c r="N25" s="1">
        <v>4</v>
      </c>
      <c r="O25">
        <v>3</v>
      </c>
      <c r="P25">
        <v>4</v>
      </c>
      <c r="Q25">
        <v>0</v>
      </c>
      <c r="R25">
        <v>25</v>
      </c>
      <c r="S25">
        <v>100</v>
      </c>
      <c r="T25">
        <v>25</v>
      </c>
      <c r="U25">
        <v>100</v>
      </c>
      <c r="V25">
        <v>27</v>
      </c>
      <c r="W25">
        <v>29</v>
      </c>
      <c r="X25">
        <v>37.1</v>
      </c>
    </row>
    <row r="26" spans="1:24" ht="15.75" x14ac:dyDescent="0.25">
      <c r="A26" t="s">
        <v>24</v>
      </c>
      <c r="B26" s="1" t="s">
        <v>81</v>
      </c>
      <c r="C26">
        <v>1</v>
      </c>
      <c r="D26" s="1">
        <v>1</v>
      </c>
      <c r="E26" s="1">
        <v>0</v>
      </c>
      <c r="F26" t="s">
        <v>26</v>
      </c>
      <c r="G26">
        <v>0</v>
      </c>
      <c r="H26">
        <v>2</v>
      </c>
      <c r="I26">
        <v>1</v>
      </c>
      <c r="J26">
        <v>1</v>
      </c>
      <c r="K26">
        <v>1</v>
      </c>
      <c r="L26">
        <v>0</v>
      </c>
      <c r="M26" s="1">
        <v>5</v>
      </c>
      <c r="N26" s="1">
        <v>3</v>
      </c>
      <c r="O26">
        <v>5</v>
      </c>
      <c r="P26">
        <v>3</v>
      </c>
      <c r="Q26">
        <v>0</v>
      </c>
      <c r="R26">
        <v>50</v>
      </c>
      <c r="S26">
        <v>100</v>
      </c>
      <c r="T26">
        <v>50</v>
      </c>
      <c r="U26">
        <v>100</v>
      </c>
      <c r="V26">
        <v>18</v>
      </c>
      <c r="W26">
        <v>26</v>
      </c>
      <c r="X26">
        <v>46.3</v>
      </c>
    </row>
    <row r="27" spans="1:24" ht="15.75" x14ac:dyDescent="0.25">
      <c r="A27" t="s">
        <v>24</v>
      </c>
      <c r="B27" s="1" t="s">
        <v>85</v>
      </c>
      <c r="C27">
        <v>1</v>
      </c>
      <c r="D27" s="1">
        <v>0</v>
      </c>
      <c r="E27" s="1">
        <v>0</v>
      </c>
      <c r="F27" t="s">
        <v>26</v>
      </c>
      <c r="G27">
        <v>1</v>
      </c>
      <c r="H27">
        <v>1</v>
      </c>
      <c r="I27">
        <v>0.5</v>
      </c>
      <c r="J27">
        <v>0</v>
      </c>
      <c r="K27">
        <v>0</v>
      </c>
      <c r="L27">
        <v>0</v>
      </c>
      <c r="M27" s="1">
        <v>3</v>
      </c>
      <c r="N27" s="1">
        <v>3</v>
      </c>
      <c r="O27">
        <v>3</v>
      </c>
      <c r="P27">
        <v>3</v>
      </c>
      <c r="Q27">
        <v>0</v>
      </c>
      <c r="R27" t="s">
        <v>26</v>
      </c>
      <c r="S27">
        <v>100</v>
      </c>
      <c r="T27" t="s">
        <v>26</v>
      </c>
      <c r="U27">
        <v>100</v>
      </c>
      <c r="V27">
        <v>30</v>
      </c>
      <c r="W27">
        <v>28</v>
      </c>
      <c r="X27">
        <v>59.6</v>
      </c>
    </row>
    <row r="28" spans="1:24" ht="15.75" x14ac:dyDescent="0.25">
      <c r="A28" t="s">
        <v>24</v>
      </c>
      <c r="B28" s="1" t="s">
        <v>55</v>
      </c>
      <c r="C28">
        <v>1</v>
      </c>
      <c r="D28" s="1">
        <v>1</v>
      </c>
      <c r="E28" s="1">
        <v>0</v>
      </c>
      <c r="F28" t="s">
        <v>26</v>
      </c>
      <c r="G28">
        <v>0</v>
      </c>
      <c r="H28">
        <v>2</v>
      </c>
      <c r="I28">
        <v>1</v>
      </c>
      <c r="J28">
        <v>1</v>
      </c>
      <c r="K28">
        <v>1</v>
      </c>
      <c r="L28">
        <v>0</v>
      </c>
      <c r="M28" s="1">
        <v>2</v>
      </c>
      <c r="N28" s="1">
        <v>1</v>
      </c>
      <c r="O28">
        <v>2</v>
      </c>
      <c r="P28">
        <v>1</v>
      </c>
      <c r="Q28">
        <v>0</v>
      </c>
      <c r="R28">
        <v>33.299999999999997</v>
      </c>
      <c r="S28">
        <v>100</v>
      </c>
      <c r="T28">
        <v>33.299999999999997</v>
      </c>
      <c r="U28">
        <v>100</v>
      </c>
      <c r="V28">
        <v>36</v>
      </c>
      <c r="W28">
        <v>27</v>
      </c>
      <c r="X28">
        <v>44.1</v>
      </c>
    </row>
    <row r="29" spans="1:24" ht="15.75" x14ac:dyDescent="0.25">
      <c r="A29" t="s">
        <v>24</v>
      </c>
      <c r="B29" s="1" t="s">
        <v>71</v>
      </c>
      <c r="C29">
        <v>1</v>
      </c>
      <c r="D29" s="1">
        <v>0</v>
      </c>
      <c r="E29" s="1">
        <v>1</v>
      </c>
      <c r="F29" t="s">
        <v>26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s="1">
        <v>0</v>
      </c>
      <c r="N29" s="1">
        <v>6</v>
      </c>
      <c r="O29">
        <v>0</v>
      </c>
      <c r="P29">
        <v>6</v>
      </c>
      <c r="Q29">
        <v>0</v>
      </c>
      <c r="R29" t="s">
        <v>26</v>
      </c>
      <c r="S29">
        <v>50</v>
      </c>
      <c r="T29" t="s">
        <v>26</v>
      </c>
      <c r="U29">
        <v>50</v>
      </c>
      <c r="V29">
        <v>23</v>
      </c>
      <c r="W29">
        <v>32</v>
      </c>
      <c r="X29">
        <v>40.4</v>
      </c>
    </row>
    <row r="30" spans="1:24" ht="15.75" x14ac:dyDescent="0.25">
      <c r="A30" t="s">
        <v>24</v>
      </c>
      <c r="B30" s="1" t="s">
        <v>53</v>
      </c>
      <c r="C30">
        <v>1</v>
      </c>
      <c r="D30" s="1">
        <v>0</v>
      </c>
      <c r="E30" s="1">
        <v>1</v>
      </c>
      <c r="F30" t="s">
        <v>26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s="1">
        <v>1</v>
      </c>
      <c r="N30" s="1">
        <v>7</v>
      </c>
      <c r="O30">
        <v>1</v>
      </c>
      <c r="P30">
        <v>7</v>
      </c>
      <c r="Q30">
        <v>0</v>
      </c>
      <c r="R30">
        <v>50</v>
      </c>
      <c r="S30">
        <v>60</v>
      </c>
      <c r="T30">
        <v>50</v>
      </c>
      <c r="U30">
        <v>60</v>
      </c>
      <c r="V30">
        <v>20</v>
      </c>
      <c r="W30">
        <v>53</v>
      </c>
      <c r="X30">
        <v>48.3</v>
      </c>
    </row>
    <row r="31" spans="1:24" ht="15.75" x14ac:dyDescent="0.25">
      <c r="A31" t="s">
        <v>24</v>
      </c>
      <c r="B31" s="1" t="s">
        <v>61</v>
      </c>
      <c r="C31">
        <v>1</v>
      </c>
      <c r="D31" s="1">
        <v>1</v>
      </c>
      <c r="E31" s="1">
        <v>0</v>
      </c>
      <c r="F31" t="s">
        <v>26</v>
      </c>
      <c r="G31">
        <v>0</v>
      </c>
      <c r="H31">
        <v>2</v>
      </c>
      <c r="I31">
        <v>1</v>
      </c>
      <c r="J31">
        <v>1</v>
      </c>
      <c r="K31">
        <v>1</v>
      </c>
      <c r="L31">
        <v>0</v>
      </c>
      <c r="M31" s="1">
        <v>3</v>
      </c>
      <c r="N31" s="1">
        <v>0</v>
      </c>
      <c r="O31">
        <v>3</v>
      </c>
      <c r="P31">
        <v>0</v>
      </c>
      <c r="Q31">
        <v>1</v>
      </c>
      <c r="R31" t="s">
        <v>26</v>
      </c>
      <c r="S31">
        <v>100</v>
      </c>
      <c r="T31" t="s">
        <v>26</v>
      </c>
      <c r="U31">
        <v>133.30000000000001</v>
      </c>
      <c r="V31">
        <v>25</v>
      </c>
      <c r="W31">
        <v>21</v>
      </c>
      <c r="X31">
        <v>31.9</v>
      </c>
    </row>
    <row r="32" spans="1:24" ht="15.75" x14ac:dyDescent="0.25">
      <c r="A32" t="s">
        <v>24</v>
      </c>
      <c r="B32" s="1" t="s">
        <v>74</v>
      </c>
      <c r="C32">
        <v>1</v>
      </c>
      <c r="D32" s="1">
        <v>0</v>
      </c>
      <c r="E32" s="1">
        <v>1</v>
      </c>
      <c r="F32" t="s">
        <v>26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1">
        <v>2</v>
      </c>
      <c r="N32" s="1">
        <v>3</v>
      </c>
      <c r="O32">
        <v>2</v>
      </c>
      <c r="P32">
        <v>3</v>
      </c>
      <c r="Q32">
        <v>0</v>
      </c>
      <c r="R32" t="s">
        <v>26</v>
      </c>
      <c r="S32">
        <v>100</v>
      </c>
      <c r="T32" t="s">
        <v>26</v>
      </c>
      <c r="U32">
        <v>100</v>
      </c>
      <c r="V32">
        <v>29</v>
      </c>
      <c r="W32">
        <v>26</v>
      </c>
      <c r="X32">
        <v>44.2</v>
      </c>
    </row>
    <row r="33" spans="1:24" ht="15.75" x14ac:dyDescent="0.25">
      <c r="A33" t="s">
        <v>24</v>
      </c>
      <c r="B33" s="1" t="s">
        <v>29</v>
      </c>
      <c r="C33">
        <v>1</v>
      </c>
      <c r="D33" s="1">
        <v>0</v>
      </c>
      <c r="E33" s="1">
        <v>1</v>
      </c>
      <c r="F33" t="s">
        <v>26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s="1">
        <v>0</v>
      </c>
      <c r="N33" s="1">
        <v>4</v>
      </c>
      <c r="O33">
        <v>0</v>
      </c>
      <c r="P33">
        <v>4</v>
      </c>
      <c r="Q33">
        <v>0</v>
      </c>
      <c r="R33" t="s">
        <v>26</v>
      </c>
      <c r="S33">
        <v>100</v>
      </c>
      <c r="T33" t="s">
        <v>26</v>
      </c>
      <c r="U33">
        <v>100</v>
      </c>
      <c r="V33">
        <v>26</v>
      </c>
      <c r="W33">
        <v>24</v>
      </c>
      <c r="X33">
        <v>54.5</v>
      </c>
    </row>
    <row r="34" spans="1:24" ht="15.75" x14ac:dyDescent="0.25">
      <c r="A34" t="s">
        <v>24</v>
      </c>
      <c r="B34" s="1" t="s">
        <v>62</v>
      </c>
      <c r="C34">
        <v>1</v>
      </c>
      <c r="D34" s="1">
        <v>0</v>
      </c>
      <c r="E34" s="1">
        <v>1</v>
      </c>
      <c r="F34" t="s">
        <v>26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s="1">
        <v>2</v>
      </c>
      <c r="N34" s="1">
        <v>3</v>
      </c>
      <c r="O34">
        <v>2</v>
      </c>
      <c r="P34">
        <v>3</v>
      </c>
      <c r="Q34">
        <v>0</v>
      </c>
      <c r="R34" t="s">
        <v>26</v>
      </c>
      <c r="S34">
        <v>66.7</v>
      </c>
      <c r="T34" t="s">
        <v>26</v>
      </c>
      <c r="U34">
        <v>100</v>
      </c>
      <c r="V34">
        <v>25</v>
      </c>
      <c r="W34">
        <v>27</v>
      </c>
      <c r="X34">
        <v>42.9</v>
      </c>
    </row>
    <row r="35" spans="1:24" ht="15.75" x14ac:dyDescent="0.25">
      <c r="A35" t="s">
        <v>24</v>
      </c>
      <c r="B35" s="1" t="s">
        <v>37</v>
      </c>
      <c r="C35">
        <v>1</v>
      </c>
      <c r="D35" s="1">
        <v>0</v>
      </c>
      <c r="E35" s="1">
        <v>1</v>
      </c>
      <c r="F35" t="s">
        <v>26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s="1">
        <v>1</v>
      </c>
      <c r="N35" s="1">
        <v>4</v>
      </c>
      <c r="O35">
        <v>1</v>
      </c>
      <c r="P35">
        <v>4</v>
      </c>
      <c r="Q35">
        <v>0</v>
      </c>
      <c r="R35" t="s">
        <v>26</v>
      </c>
      <c r="S35">
        <v>100</v>
      </c>
      <c r="T35" t="s">
        <v>26</v>
      </c>
      <c r="U35">
        <v>100</v>
      </c>
      <c r="V35">
        <v>15</v>
      </c>
      <c r="W35">
        <v>35</v>
      </c>
      <c r="X35">
        <v>34</v>
      </c>
    </row>
    <row r="36" spans="1:24" ht="15.75" x14ac:dyDescent="0.25">
      <c r="A36" t="s">
        <v>24</v>
      </c>
      <c r="B36" s="1" t="s">
        <v>57</v>
      </c>
      <c r="C36">
        <v>1</v>
      </c>
      <c r="D36" s="1">
        <v>0</v>
      </c>
      <c r="E36" s="1">
        <v>1</v>
      </c>
      <c r="F36" t="s">
        <v>26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1">
        <v>4</v>
      </c>
      <c r="N36" s="1">
        <v>6</v>
      </c>
      <c r="O36">
        <v>4</v>
      </c>
      <c r="P36">
        <v>6</v>
      </c>
      <c r="Q36">
        <v>0</v>
      </c>
      <c r="R36">
        <v>33.299999999999997</v>
      </c>
      <c r="S36">
        <v>83.3</v>
      </c>
      <c r="T36" t="s">
        <v>26</v>
      </c>
      <c r="U36">
        <v>83.3</v>
      </c>
      <c r="V36">
        <v>24</v>
      </c>
      <c r="W36">
        <v>40</v>
      </c>
      <c r="X36">
        <v>40.299999999999997</v>
      </c>
    </row>
    <row r="37" spans="1:24" ht="15.75" x14ac:dyDescent="0.25">
      <c r="A37" t="s">
        <v>24</v>
      </c>
      <c r="B37" s="1" t="s">
        <v>83</v>
      </c>
      <c r="C37">
        <v>1</v>
      </c>
      <c r="D37" s="1">
        <v>0</v>
      </c>
      <c r="E37" s="1">
        <v>1</v>
      </c>
      <c r="F37" t="s">
        <v>26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s="1">
        <v>1</v>
      </c>
      <c r="N37" s="1">
        <v>3</v>
      </c>
      <c r="O37">
        <v>1</v>
      </c>
      <c r="P37">
        <v>3</v>
      </c>
      <c r="Q37">
        <v>0</v>
      </c>
      <c r="R37" t="s">
        <v>26</v>
      </c>
      <c r="S37">
        <v>75</v>
      </c>
      <c r="T37" t="s">
        <v>26</v>
      </c>
      <c r="U37">
        <v>75</v>
      </c>
      <c r="V37">
        <v>21</v>
      </c>
      <c r="W37">
        <v>26</v>
      </c>
      <c r="X37">
        <v>62.7</v>
      </c>
    </row>
    <row r="38" spans="1:24" ht="15.75" x14ac:dyDescent="0.25">
      <c r="A38" t="s">
        <v>24</v>
      </c>
      <c r="B38" s="1" t="s">
        <v>63</v>
      </c>
      <c r="C38">
        <v>1</v>
      </c>
      <c r="D38" s="1">
        <v>1</v>
      </c>
      <c r="E38" s="1">
        <v>0</v>
      </c>
      <c r="F38" t="s">
        <v>26</v>
      </c>
      <c r="G38">
        <v>0</v>
      </c>
      <c r="H38">
        <v>2</v>
      </c>
      <c r="I38">
        <v>1</v>
      </c>
      <c r="J38">
        <v>0</v>
      </c>
      <c r="K38">
        <v>0</v>
      </c>
      <c r="L38">
        <v>1</v>
      </c>
      <c r="M38" s="1">
        <v>3</v>
      </c>
      <c r="N38" s="1">
        <v>3</v>
      </c>
      <c r="O38">
        <v>3</v>
      </c>
      <c r="P38">
        <v>3</v>
      </c>
      <c r="Q38">
        <v>0</v>
      </c>
      <c r="R38" t="s">
        <v>26</v>
      </c>
      <c r="S38">
        <v>100</v>
      </c>
      <c r="T38" t="s">
        <v>26</v>
      </c>
      <c r="U38">
        <v>100</v>
      </c>
      <c r="V38">
        <v>33</v>
      </c>
      <c r="W38">
        <v>31</v>
      </c>
      <c r="X38">
        <v>43.1</v>
      </c>
    </row>
    <row r="39" spans="1:24" ht="15.75" x14ac:dyDescent="0.25">
      <c r="A39" t="s">
        <v>24</v>
      </c>
      <c r="B39" s="1" t="s">
        <v>79</v>
      </c>
      <c r="C39">
        <v>1</v>
      </c>
      <c r="D39" s="1">
        <v>0</v>
      </c>
      <c r="E39" s="1">
        <v>1</v>
      </c>
      <c r="F39" t="s">
        <v>26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s="1">
        <v>3</v>
      </c>
      <c r="N39" s="1">
        <v>7</v>
      </c>
      <c r="O39">
        <v>3</v>
      </c>
      <c r="P39">
        <v>7</v>
      </c>
      <c r="Q39">
        <v>0</v>
      </c>
      <c r="R39" t="s">
        <v>26</v>
      </c>
      <c r="S39">
        <v>50</v>
      </c>
      <c r="T39" t="s">
        <v>26</v>
      </c>
      <c r="U39">
        <v>50</v>
      </c>
      <c r="V39">
        <v>24</v>
      </c>
      <c r="W39">
        <v>24</v>
      </c>
      <c r="X39">
        <v>46.6</v>
      </c>
    </row>
    <row r="40" spans="1:24" ht="15.75" x14ac:dyDescent="0.25">
      <c r="A40" t="s">
        <v>24</v>
      </c>
      <c r="B40" s="1" t="s">
        <v>45</v>
      </c>
      <c r="C40">
        <v>1</v>
      </c>
      <c r="D40" s="1">
        <v>0</v>
      </c>
      <c r="E40" s="1">
        <v>0</v>
      </c>
      <c r="F40" t="s">
        <v>26</v>
      </c>
      <c r="G40">
        <v>1</v>
      </c>
      <c r="H40">
        <v>1</v>
      </c>
      <c r="I40">
        <v>0.5</v>
      </c>
      <c r="J40">
        <v>0</v>
      </c>
      <c r="K40">
        <v>0</v>
      </c>
      <c r="L40">
        <v>0</v>
      </c>
      <c r="M40" s="1">
        <v>2</v>
      </c>
      <c r="N40" s="1">
        <v>2</v>
      </c>
      <c r="O40">
        <v>2</v>
      </c>
      <c r="P40">
        <v>2</v>
      </c>
      <c r="Q40">
        <v>0</v>
      </c>
      <c r="R40">
        <v>50</v>
      </c>
      <c r="S40">
        <v>66.7</v>
      </c>
      <c r="T40">
        <v>50</v>
      </c>
      <c r="U40">
        <v>66.7</v>
      </c>
      <c r="V40">
        <v>19</v>
      </c>
      <c r="W40">
        <v>21</v>
      </c>
      <c r="X40">
        <v>46</v>
      </c>
    </row>
    <row r="41" spans="1:24" ht="15.75" x14ac:dyDescent="0.25">
      <c r="A41" t="s">
        <v>24</v>
      </c>
      <c r="B41" s="1" t="s">
        <v>87</v>
      </c>
      <c r="C41">
        <v>1</v>
      </c>
      <c r="D41" s="1">
        <v>1</v>
      </c>
      <c r="E41" s="1">
        <v>0</v>
      </c>
      <c r="F41" t="s">
        <v>26</v>
      </c>
      <c r="G41">
        <v>0</v>
      </c>
      <c r="H41">
        <v>2</v>
      </c>
      <c r="I41">
        <v>1</v>
      </c>
      <c r="J41">
        <v>1</v>
      </c>
      <c r="K41">
        <v>1</v>
      </c>
      <c r="L41">
        <v>0</v>
      </c>
      <c r="M41" s="1">
        <v>4</v>
      </c>
      <c r="N41" s="1">
        <v>3</v>
      </c>
      <c r="O41">
        <v>4</v>
      </c>
      <c r="P41">
        <v>3</v>
      </c>
      <c r="Q41">
        <v>0</v>
      </c>
      <c r="R41">
        <v>50</v>
      </c>
      <c r="S41">
        <v>100</v>
      </c>
      <c r="T41">
        <v>50</v>
      </c>
      <c r="U41">
        <v>100</v>
      </c>
      <c r="V41">
        <v>21</v>
      </c>
      <c r="W41">
        <v>25</v>
      </c>
      <c r="X41">
        <v>46.5</v>
      </c>
    </row>
    <row r="42" spans="1:24" ht="15.75" x14ac:dyDescent="0.25">
      <c r="A42" t="s">
        <v>24</v>
      </c>
      <c r="B42" s="1" t="s">
        <v>105</v>
      </c>
      <c r="C42">
        <v>1</v>
      </c>
      <c r="D42" s="1">
        <v>1</v>
      </c>
      <c r="E42" s="1">
        <v>0</v>
      </c>
      <c r="F42" t="s">
        <v>26</v>
      </c>
      <c r="G42">
        <v>0</v>
      </c>
      <c r="H42">
        <v>2</v>
      </c>
      <c r="I42">
        <v>1</v>
      </c>
      <c r="J42">
        <v>0</v>
      </c>
      <c r="K42">
        <v>0</v>
      </c>
      <c r="L42">
        <v>1</v>
      </c>
      <c r="M42" s="1">
        <v>2</v>
      </c>
      <c r="N42" s="1">
        <v>2</v>
      </c>
      <c r="O42">
        <v>2</v>
      </c>
      <c r="P42">
        <v>2</v>
      </c>
      <c r="Q42">
        <v>0</v>
      </c>
      <c r="R42">
        <v>50</v>
      </c>
      <c r="S42">
        <v>100</v>
      </c>
      <c r="T42">
        <v>50</v>
      </c>
      <c r="U42">
        <v>100</v>
      </c>
      <c r="V42">
        <v>33</v>
      </c>
      <c r="W42">
        <v>34</v>
      </c>
      <c r="X42">
        <v>49</v>
      </c>
    </row>
    <row r="43" spans="1:24" ht="15.75" x14ac:dyDescent="0.25">
      <c r="A43" t="s">
        <v>24</v>
      </c>
      <c r="B43" s="1" t="s">
        <v>58</v>
      </c>
      <c r="C43">
        <v>1</v>
      </c>
      <c r="D43" s="1">
        <v>1</v>
      </c>
      <c r="E43" s="1">
        <v>0</v>
      </c>
      <c r="F43" t="s">
        <v>26</v>
      </c>
      <c r="G43">
        <v>0</v>
      </c>
      <c r="H43">
        <v>2</v>
      </c>
      <c r="I43">
        <v>1</v>
      </c>
      <c r="J43">
        <v>0</v>
      </c>
      <c r="K43">
        <v>1</v>
      </c>
      <c r="L43">
        <v>0</v>
      </c>
      <c r="M43" s="1">
        <v>3</v>
      </c>
      <c r="N43" s="1">
        <v>2</v>
      </c>
      <c r="O43">
        <v>3</v>
      </c>
      <c r="P43">
        <v>2</v>
      </c>
      <c r="Q43">
        <v>0</v>
      </c>
      <c r="R43" t="s">
        <v>26</v>
      </c>
      <c r="S43">
        <v>100</v>
      </c>
      <c r="T43" t="s">
        <v>26</v>
      </c>
      <c r="U43">
        <v>100</v>
      </c>
      <c r="V43">
        <v>20</v>
      </c>
      <c r="W43">
        <v>15</v>
      </c>
      <c r="X43">
        <v>46.3</v>
      </c>
    </row>
    <row r="44" spans="1:24" ht="15.75" x14ac:dyDescent="0.25">
      <c r="A44" t="s">
        <v>24</v>
      </c>
      <c r="B44" s="1" t="s">
        <v>104</v>
      </c>
      <c r="C44">
        <v>1</v>
      </c>
      <c r="D44" s="1">
        <v>1</v>
      </c>
      <c r="E44" s="1">
        <v>0</v>
      </c>
      <c r="F44" t="s">
        <v>26</v>
      </c>
      <c r="G44">
        <v>0</v>
      </c>
      <c r="H44">
        <v>2</v>
      </c>
      <c r="I44">
        <v>1</v>
      </c>
      <c r="J44">
        <v>1</v>
      </c>
      <c r="K44">
        <v>1</v>
      </c>
      <c r="L44">
        <v>0</v>
      </c>
      <c r="M44" s="1">
        <v>7</v>
      </c>
      <c r="N44" s="1">
        <v>3</v>
      </c>
      <c r="O44">
        <v>7</v>
      </c>
      <c r="P44">
        <v>3</v>
      </c>
      <c r="Q44">
        <v>0</v>
      </c>
      <c r="R44">
        <v>75</v>
      </c>
      <c r="S44">
        <v>100</v>
      </c>
      <c r="T44">
        <v>75</v>
      </c>
      <c r="U44">
        <v>100</v>
      </c>
      <c r="V44">
        <v>35</v>
      </c>
      <c r="W44">
        <v>30</v>
      </c>
      <c r="X44">
        <v>60.9</v>
      </c>
    </row>
    <row r="45" spans="1:24" ht="15.75" x14ac:dyDescent="0.25">
      <c r="A45" t="s">
        <v>24</v>
      </c>
      <c r="B45" s="1" t="s">
        <v>91</v>
      </c>
      <c r="C45">
        <v>1</v>
      </c>
      <c r="D45" s="1">
        <v>0</v>
      </c>
      <c r="E45" s="1">
        <v>1</v>
      </c>
      <c r="F45" t="s">
        <v>26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s="1">
        <v>1</v>
      </c>
      <c r="N45" s="1">
        <v>5</v>
      </c>
      <c r="O45">
        <v>1</v>
      </c>
      <c r="P45">
        <v>5</v>
      </c>
      <c r="Q45">
        <v>0</v>
      </c>
      <c r="R45">
        <v>25</v>
      </c>
      <c r="S45">
        <v>100</v>
      </c>
      <c r="T45">
        <v>25</v>
      </c>
      <c r="U45">
        <v>100</v>
      </c>
      <c r="V45">
        <v>24</v>
      </c>
      <c r="W45">
        <v>24</v>
      </c>
      <c r="X45">
        <v>53.8</v>
      </c>
    </row>
    <row r="46" spans="1:24" ht="15.75" x14ac:dyDescent="0.25">
      <c r="A46" t="s">
        <v>24</v>
      </c>
      <c r="B46" s="1" t="s">
        <v>32</v>
      </c>
      <c r="C46">
        <v>1</v>
      </c>
      <c r="D46" s="1">
        <v>1</v>
      </c>
      <c r="E46" s="1">
        <v>0</v>
      </c>
      <c r="F46" t="s">
        <v>26</v>
      </c>
      <c r="G46">
        <v>0</v>
      </c>
      <c r="H46">
        <v>2</v>
      </c>
      <c r="I46">
        <v>1</v>
      </c>
      <c r="J46">
        <v>1</v>
      </c>
      <c r="K46">
        <v>1</v>
      </c>
      <c r="L46">
        <v>0</v>
      </c>
      <c r="M46" s="1">
        <v>3</v>
      </c>
      <c r="N46" s="1">
        <v>0</v>
      </c>
      <c r="O46">
        <v>3</v>
      </c>
      <c r="P46">
        <v>0</v>
      </c>
      <c r="Q46">
        <v>1</v>
      </c>
      <c r="R46">
        <v>33.299999999999997</v>
      </c>
      <c r="S46">
        <v>100</v>
      </c>
      <c r="T46">
        <v>33.299999999999997</v>
      </c>
      <c r="U46">
        <v>100</v>
      </c>
      <c r="V46">
        <v>21</v>
      </c>
      <c r="W46">
        <v>36</v>
      </c>
      <c r="X46">
        <v>45.3</v>
      </c>
    </row>
    <row r="47" spans="1:24" ht="15.75" x14ac:dyDescent="0.25">
      <c r="A47" t="s">
        <v>24</v>
      </c>
      <c r="B47" s="1" t="s">
        <v>80</v>
      </c>
      <c r="C47">
        <v>1</v>
      </c>
      <c r="D47" s="1">
        <v>0</v>
      </c>
      <c r="E47" s="1">
        <v>1</v>
      </c>
      <c r="F47" t="s">
        <v>26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s="1">
        <v>1</v>
      </c>
      <c r="N47" s="1">
        <v>4</v>
      </c>
      <c r="O47">
        <v>1</v>
      </c>
      <c r="P47">
        <v>4</v>
      </c>
      <c r="Q47">
        <v>0</v>
      </c>
      <c r="R47" t="s">
        <v>26</v>
      </c>
      <c r="S47">
        <v>100</v>
      </c>
      <c r="T47" t="s">
        <v>26</v>
      </c>
      <c r="U47">
        <v>100</v>
      </c>
      <c r="V47">
        <v>30</v>
      </c>
      <c r="W47">
        <v>37</v>
      </c>
      <c r="X47">
        <v>51.9</v>
      </c>
    </row>
    <row r="48" spans="1:24" ht="15.75" x14ac:dyDescent="0.25">
      <c r="A48" t="s">
        <v>24</v>
      </c>
      <c r="B48" s="1" t="s">
        <v>56</v>
      </c>
      <c r="C48">
        <v>1</v>
      </c>
      <c r="D48" s="1">
        <v>0</v>
      </c>
      <c r="E48" s="1">
        <v>1</v>
      </c>
      <c r="F48" t="s">
        <v>26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1">
        <v>1</v>
      </c>
      <c r="N48" s="1">
        <v>3</v>
      </c>
      <c r="O48">
        <v>1</v>
      </c>
      <c r="P48">
        <v>3</v>
      </c>
      <c r="Q48">
        <v>0</v>
      </c>
      <c r="R48" t="s">
        <v>26</v>
      </c>
      <c r="S48">
        <v>75</v>
      </c>
      <c r="T48">
        <v>-25</v>
      </c>
      <c r="U48">
        <v>75</v>
      </c>
      <c r="V48">
        <v>23</v>
      </c>
      <c r="W48">
        <v>23</v>
      </c>
      <c r="X48">
        <v>54.4</v>
      </c>
    </row>
    <row r="49" spans="1:24" ht="15.75" x14ac:dyDescent="0.25">
      <c r="A49" t="s">
        <v>24</v>
      </c>
      <c r="B49" s="1" t="s">
        <v>35</v>
      </c>
      <c r="C49">
        <v>1</v>
      </c>
      <c r="D49" s="1">
        <v>0</v>
      </c>
      <c r="E49" s="1">
        <v>1</v>
      </c>
      <c r="F49" t="s">
        <v>26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s="1">
        <v>2</v>
      </c>
      <c r="N49" s="1">
        <v>5</v>
      </c>
      <c r="O49">
        <v>2</v>
      </c>
      <c r="P49">
        <v>5</v>
      </c>
      <c r="Q49">
        <v>0</v>
      </c>
      <c r="R49" t="s">
        <v>26</v>
      </c>
      <c r="S49" t="s">
        <v>26</v>
      </c>
      <c r="T49" t="s">
        <v>26</v>
      </c>
      <c r="U49" t="s">
        <v>26</v>
      </c>
      <c r="V49">
        <v>24</v>
      </c>
      <c r="W49">
        <v>23</v>
      </c>
      <c r="X49">
        <v>47.9</v>
      </c>
    </row>
    <row r="50" spans="1:24" ht="15.75" x14ac:dyDescent="0.25">
      <c r="A50" t="s">
        <v>24</v>
      </c>
      <c r="B50" s="1" t="s">
        <v>67</v>
      </c>
      <c r="C50">
        <v>1</v>
      </c>
      <c r="D50" s="1">
        <v>1</v>
      </c>
      <c r="E50" s="1">
        <v>0</v>
      </c>
      <c r="F50" t="s">
        <v>26</v>
      </c>
      <c r="G50">
        <v>0</v>
      </c>
      <c r="H50">
        <v>2</v>
      </c>
      <c r="I50">
        <v>1</v>
      </c>
      <c r="J50">
        <v>1</v>
      </c>
      <c r="K50">
        <v>1</v>
      </c>
      <c r="L50">
        <v>0</v>
      </c>
      <c r="M50" s="1">
        <v>2</v>
      </c>
      <c r="N50" s="1">
        <v>0</v>
      </c>
      <c r="O50">
        <v>2</v>
      </c>
      <c r="P50">
        <v>0</v>
      </c>
      <c r="Q50">
        <v>1</v>
      </c>
      <c r="R50" t="s">
        <v>26</v>
      </c>
      <c r="S50">
        <v>100</v>
      </c>
      <c r="T50" t="s">
        <v>26</v>
      </c>
      <c r="U50">
        <v>100</v>
      </c>
      <c r="V50">
        <v>24</v>
      </c>
      <c r="W50">
        <v>32</v>
      </c>
      <c r="X50">
        <v>55.8</v>
      </c>
    </row>
    <row r="51" spans="1:24" ht="15.75" x14ac:dyDescent="0.25">
      <c r="A51" t="s">
        <v>24</v>
      </c>
      <c r="B51" s="1" t="s">
        <v>72</v>
      </c>
      <c r="C51">
        <v>1</v>
      </c>
      <c r="D51" s="1">
        <v>1</v>
      </c>
      <c r="E51" s="1">
        <v>0</v>
      </c>
      <c r="F51" t="s">
        <v>26</v>
      </c>
      <c r="G51">
        <v>0</v>
      </c>
      <c r="H51">
        <v>2</v>
      </c>
      <c r="I51">
        <v>1</v>
      </c>
      <c r="J51">
        <v>0</v>
      </c>
      <c r="K51">
        <v>0</v>
      </c>
      <c r="L51">
        <v>1</v>
      </c>
      <c r="M51" s="1">
        <v>3</v>
      </c>
      <c r="N51" s="1">
        <v>3</v>
      </c>
      <c r="O51">
        <v>3</v>
      </c>
      <c r="P51">
        <v>3</v>
      </c>
      <c r="Q51">
        <v>0</v>
      </c>
      <c r="R51" t="s">
        <v>26</v>
      </c>
      <c r="S51">
        <v>100</v>
      </c>
      <c r="T51" t="s">
        <v>26</v>
      </c>
      <c r="U51">
        <v>120</v>
      </c>
      <c r="V51">
        <v>22</v>
      </c>
      <c r="W51">
        <v>31</v>
      </c>
      <c r="X51">
        <v>35</v>
      </c>
    </row>
    <row r="52" spans="1:24" ht="15.75" x14ac:dyDescent="0.25">
      <c r="A52" t="s">
        <v>24</v>
      </c>
      <c r="B52" s="1" t="s">
        <v>84</v>
      </c>
      <c r="C52">
        <v>1</v>
      </c>
      <c r="D52" s="1">
        <v>0</v>
      </c>
      <c r="E52" s="1">
        <v>0</v>
      </c>
      <c r="F52" t="s">
        <v>26</v>
      </c>
      <c r="G52">
        <v>1</v>
      </c>
      <c r="H52">
        <v>1</v>
      </c>
      <c r="I52">
        <v>0.5</v>
      </c>
      <c r="J52">
        <v>0</v>
      </c>
      <c r="K52">
        <v>0</v>
      </c>
      <c r="L52">
        <v>0</v>
      </c>
      <c r="M52" s="1">
        <v>1</v>
      </c>
      <c r="N52" s="1">
        <v>1</v>
      </c>
      <c r="O52">
        <v>1</v>
      </c>
      <c r="P52">
        <v>1</v>
      </c>
      <c r="Q52">
        <v>0</v>
      </c>
      <c r="R52" t="s">
        <v>26</v>
      </c>
      <c r="S52">
        <v>100</v>
      </c>
      <c r="T52" t="s">
        <v>26</v>
      </c>
      <c r="U52">
        <v>100</v>
      </c>
      <c r="V52">
        <v>19</v>
      </c>
      <c r="W52">
        <v>31</v>
      </c>
      <c r="X52">
        <v>47.4</v>
      </c>
    </row>
    <row r="53" spans="1:24" ht="15.75" x14ac:dyDescent="0.25">
      <c r="A53" t="s">
        <v>24</v>
      </c>
      <c r="B53" s="1" t="s">
        <v>25</v>
      </c>
      <c r="C53">
        <v>1</v>
      </c>
      <c r="D53" s="1">
        <v>0</v>
      </c>
      <c r="E53" s="1">
        <v>1</v>
      </c>
      <c r="F53" t="s">
        <v>26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s="1">
        <v>1</v>
      </c>
      <c r="N53" s="1">
        <v>5</v>
      </c>
      <c r="O53">
        <v>1</v>
      </c>
      <c r="P53">
        <v>5</v>
      </c>
      <c r="Q53">
        <v>0</v>
      </c>
      <c r="R53" t="s">
        <v>26</v>
      </c>
      <c r="S53">
        <v>100</v>
      </c>
      <c r="T53" t="s">
        <v>26</v>
      </c>
      <c r="U53">
        <v>100</v>
      </c>
      <c r="V53">
        <v>22</v>
      </c>
      <c r="W53">
        <v>25</v>
      </c>
      <c r="X53">
        <v>46.4</v>
      </c>
    </row>
    <row r="54" spans="1:24" ht="15.75" x14ac:dyDescent="0.25">
      <c r="A54" t="s">
        <v>24</v>
      </c>
      <c r="B54" s="1" t="s">
        <v>77</v>
      </c>
      <c r="C54">
        <v>1</v>
      </c>
      <c r="D54" s="1">
        <v>0</v>
      </c>
      <c r="E54" s="1">
        <v>0</v>
      </c>
      <c r="F54" t="s">
        <v>26</v>
      </c>
      <c r="G54">
        <v>1</v>
      </c>
      <c r="H54">
        <v>1</v>
      </c>
      <c r="I54">
        <v>0.5</v>
      </c>
      <c r="J54">
        <v>0</v>
      </c>
      <c r="K54">
        <v>0</v>
      </c>
      <c r="L54">
        <v>0</v>
      </c>
      <c r="M54" s="1">
        <v>3</v>
      </c>
      <c r="N54" s="1">
        <v>3</v>
      </c>
      <c r="O54">
        <v>3</v>
      </c>
      <c r="P54">
        <v>3</v>
      </c>
      <c r="Q54">
        <v>0</v>
      </c>
      <c r="R54" t="s">
        <v>26</v>
      </c>
      <c r="S54">
        <v>100</v>
      </c>
      <c r="T54" t="s">
        <v>26</v>
      </c>
      <c r="U54">
        <v>100</v>
      </c>
      <c r="V54">
        <v>32</v>
      </c>
      <c r="W54">
        <v>23</v>
      </c>
      <c r="X54">
        <v>58.5</v>
      </c>
    </row>
    <row r="55" spans="1:24" ht="15.75" x14ac:dyDescent="0.25">
      <c r="A55" t="s">
        <v>24</v>
      </c>
      <c r="B55" s="1" t="s">
        <v>102</v>
      </c>
      <c r="C55">
        <v>1</v>
      </c>
      <c r="D55" s="1">
        <v>0</v>
      </c>
      <c r="E55" s="1">
        <v>1</v>
      </c>
      <c r="F55" t="s">
        <v>26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s="1">
        <v>2</v>
      </c>
      <c r="N55" s="1">
        <v>6</v>
      </c>
      <c r="O55">
        <v>2</v>
      </c>
      <c r="P55">
        <v>6</v>
      </c>
      <c r="Q55">
        <v>0</v>
      </c>
      <c r="R55" t="s">
        <v>26</v>
      </c>
      <c r="S55">
        <v>100</v>
      </c>
      <c r="T55" t="s">
        <v>26</v>
      </c>
      <c r="U55">
        <v>100</v>
      </c>
      <c r="V55">
        <v>20</v>
      </c>
      <c r="W55">
        <v>45</v>
      </c>
      <c r="X55">
        <v>41.4</v>
      </c>
    </row>
    <row r="56" spans="1:24" ht="15.75" x14ac:dyDescent="0.25">
      <c r="A56" t="s">
        <v>24</v>
      </c>
      <c r="B56" s="1" t="s">
        <v>46</v>
      </c>
      <c r="C56">
        <v>1</v>
      </c>
      <c r="D56" s="1">
        <v>0</v>
      </c>
      <c r="E56" s="1">
        <v>1</v>
      </c>
      <c r="F56" t="s">
        <v>26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1">
        <v>2</v>
      </c>
      <c r="N56" s="1">
        <v>4</v>
      </c>
      <c r="O56">
        <v>2</v>
      </c>
      <c r="P56">
        <v>4</v>
      </c>
      <c r="Q56">
        <v>0</v>
      </c>
      <c r="R56" t="s">
        <v>26</v>
      </c>
      <c r="S56">
        <v>66.7</v>
      </c>
      <c r="T56" t="s">
        <v>26</v>
      </c>
      <c r="U56">
        <v>66.7</v>
      </c>
      <c r="V56">
        <v>24</v>
      </c>
      <c r="W56">
        <v>26</v>
      </c>
      <c r="X56">
        <v>40</v>
      </c>
    </row>
    <row r="57" spans="1:24" ht="15.75" x14ac:dyDescent="0.25">
      <c r="A57" t="s">
        <v>24</v>
      </c>
      <c r="B57" s="1" t="s">
        <v>103</v>
      </c>
      <c r="C57">
        <v>1</v>
      </c>
      <c r="D57" s="1">
        <v>1</v>
      </c>
      <c r="E57" s="1">
        <v>0</v>
      </c>
      <c r="F57" t="s">
        <v>26</v>
      </c>
      <c r="G57">
        <v>0</v>
      </c>
      <c r="H57">
        <v>2</v>
      </c>
      <c r="I57">
        <v>1</v>
      </c>
      <c r="J57">
        <v>1</v>
      </c>
      <c r="K57">
        <v>1</v>
      </c>
      <c r="L57">
        <v>0</v>
      </c>
      <c r="M57" s="1">
        <v>6</v>
      </c>
      <c r="N57" s="1">
        <v>3</v>
      </c>
      <c r="O57">
        <v>6</v>
      </c>
      <c r="P57">
        <v>3</v>
      </c>
      <c r="Q57">
        <v>0</v>
      </c>
      <c r="R57">
        <v>25</v>
      </c>
      <c r="S57">
        <v>100</v>
      </c>
      <c r="T57">
        <v>25</v>
      </c>
      <c r="U57">
        <v>100</v>
      </c>
      <c r="V57">
        <v>17</v>
      </c>
      <c r="W57">
        <v>27</v>
      </c>
      <c r="X57">
        <v>46.4</v>
      </c>
    </row>
    <row r="58" spans="1:24" ht="15.75" x14ac:dyDescent="0.25">
      <c r="A58" t="s">
        <v>24</v>
      </c>
      <c r="B58" s="1" t="s">
        <v>44</v>
      </c>
      <c r="C58">
        <v>1</v>
      </c>
      <c r="D58" s="1">
        <v>0</v>
      </c>
      <c r="E58" s="1">
        <v>1</v>
      </c>
      <c r="F58" t="s">
        <v>26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s="1">
        <v>0</v>
      </c>
      <c r="N58" s="1">
        <v>4</v>
      </c>
      <c r="O58">
        <v>0</v>
      </c>
      <c r="P58">
        <v>4</v>
      </c>
      <c r="Q58">
        <v>0</v>
      </c>
      <c r="R58" t="s">
        <v>26</v>
      </c>
      <c r="S58">
        <v>100</v>
      </c>
      <c r="T58" t="s">
        <v>26</v>
      </c>
      <c r="U58">
        <v>100</v>
      </c>
      <c r="V58">
        <v>21</v>
      </c>
      <c r="W58">
        <v>20</v>
      </c>
      <c r="X58">
        <v>38.5</v>
      </c>
    </row>
    <row r="59" spans="1:24" ht="15.75" x14ac:dyDescent="0.25">
      <c r="A59" t="s">
        <v>24</v>
      </c>
      <c r="B59" s="1" t="s">
        <v>94</v>
      </c>
      <c r="C59">
        <v>1</v>
      </c>
      <c r="D59" s="1">
        <v>0</v>
      </c>
      <c r="E59" s="1">
        <v>1</v>
      </c>
      <c r="F59" t="s">
        <v>26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1">
        <v>2</v>
      </c>
      <c r="N59" s="1">
        <v>4</v>
      </c>
      <c r="O59">
        <v>2</v>
      </c>
      <c r="P59">
        <v>4</v>
      </c>
      <c r="Q59">
        <v>0</v>
      </c>
      <c r="R59">
        <v>20</v>
      </c>
      <c r="S59" t="s">
        <v>26</v>
      </c>
      <c r="T59">
        <v>20</v>
      </c>
      <c r="U59" t="s">
        <v>26</v>
      </c>
      <c r="V59">
        <v>23</v>
      </c>
      <c r="W59">
        <v>26</v>
      </c>
      <c r="X59">
        <v>56.8</v>
      </c>
    </row>
    <row r="60" spans="1:24" ht="15.75" x14ac:dyDescent="0.25">
      <c r="A60" t="s">
        <v>24</v>
      </c>
      <c r="B60" s="1" t="s">
        <v>65</v>
      </c>
      <c r="C60">
        <v>1</v>
      </c>
      <c r="D60" s="1">
        <v>0</v>
      </c>
      <c r="E60" s="1">
        <v>1</v>
      </c>
      <c r="F60" t="s">
        <v>26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s="1">
        <v>1</v>
      </c>
      <c r="N60" s="1">
        <v>3</v>
      </c>
      <c r="O60">
        <v>1</v>
      </c>
      <c r="P60">
        <v>3</v>
      </c>
      <c r="Q60">
        <v>0</v>
      </c>
      <c r="R60">
        <v>20</v>
      </c>
      <c r="S60">
        <v>100</v>
      </c>
      <c r="T60">
        <v>20</v>
      </c>
      <c r="U60">
        <v>100</v>
      </c>
      <c r="V60">
        <v>15</v>
      </c>
      <c r="W60">
        <v>35</v>
      </c>
      <c r="X60">
        <v>40</v>
      </c>
    </row>
    <row r="61" spans="1:24" ht="15.75" x14ac:dyDescent="0.25">
      <c r="A61" t="s">
        <v>24</v>
      </c>
      <c r="B61" s="1" t="s">
        <v>82</v>
      </c>
      <c r="C61">
        <v>1</v>
      </c>
      <c r="D61" s="1">
        <v>1</v>
      </c>
      <c r="E61" s="1">
        <v>0</v>
      </c>
      <c r="F61" t="s">
        <v>26</v>
      </c>
      <c r="G61">
        <v>0</v>
      </c>
      <c r="H61">
        <v>2</v>
      </c>
      <c r="I61">
        <v>1</v>
      </c>
      <c r="J61">
        <v>1</v>
      </c>
      <c r="K61">
        <v>1</v>
      </c>
      <c r="L61">
        <v>0</v>
      </c>
      <c r="M61" s="1">
        <v>4</v>
      </c>
      <c r="N61" s="1">
        <v>0</v>
      </c>
      <c r="O61">
        <v>4</v>
      </c>
      <c r="P61">
        <v>0</v>
      </c>
      <c r="Q61">
        <v>1</v>
      </c>
      <c r="R61">
        <v>33.299999999999997</v>
      </c>
      <c r="S61">
        <v>100</v>
      </c>
      <c r="T61">
        <v>33.299999999999997</v>
      </c>
      <c r="U61">
        <v>150</v>
      </c>
      <c r="V61">
        <v>28</v>
      </c>
      <c r="W61">
        <v>22</v>
      </c>
      <c r="X61">
        <v>33.9</v>
      </c>
    </row>
    <row r="62" spans="1:24" ht="15.75" x14ac:dyDescent="0.25">
      <c r="A62" t="s">
        <v>24</v>
      </c>
      <c r="B62" s="1" t="s">
        <v>99</v>
      </c>
      <c r="C62">
        <v>1</v>
      </c>
      <c r="D62" s="1">
        <v>0</v>
      </c>
      <c r="E62" s="1">
        <v>0</v>
      </c>
      <c r="F62" t="s">
        <v>26</v>
      </c>
      <c r="G62">
        <v>1</v>
      </c>
      <c r="H62">
        <v>1</v>
      </c>
      <c r="I62">
        <v>0.5</v>
      </c>
      <c r="J62">
        <v>0</v>
      </c>
      <c r="K62">
        <v>0</v>
      </c>
      <c r="L62">
        <v>0</v>
      </c>
      <c r="M62" s="1">
        <v>2</v>
      </c>
      <c r="N62" s="1">
        <v>3</v>
      </c>
      <c r="O62">
        <v>2</v>
      </c>
      <c r="P62">
        <v>3</v>
      </c>
      <c r="Q62">
        <v>0</v>
      </c>
      <c r="R62">
        <v>33.299999999999997</v>
      </c>
      <c r="S62">
        <v>100</v>
      </c>
      <c r="T62">
        <v>33.299999999999997</v>
      </c>
      <c r="U62">
        <v>100</v>
      </c>
      <c r="V62">
        <v>19</v>
      </c>
      <c r="W62">
        <v>32</v>
      </c>
      <c r="X62">
        <v>56.9</v>
      </c>
    </row>
    <row r="63" spans="1:24" ht="15.75" x14ac:dyDescent="0.25">
      <c r="A63" t="s">
        <v>24</v>
      </c>
      <c r="B63" s="1" t="s">
        <v>42</v>
      </c>
      <c r="C63">
        <v>1</v>
      </c>
      <c r="D63" s="1">
        <v>0</v>
      </c>
      <c r="E63" s="1">
        <v>1</v>
      </c>
      <c r="F63" t="s">
        <v>26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s="1">
        <v>3</v>
      </c>
      <c r="N63" s="1">
        <v>6</v>
      </c>
      <c r="O63">
        <v>3</v>
      </c>
      <c r="P63">
        <v>6</v>
      </c>
      <c r="Q63">
        <v>0</v>
      </c>
      <c r="R63" t="s">
        <v>26</v>
      </c>
      <c r="S63">
        <v>75</v>
      </c>
      <c r="T63" t="s">
        <v>26</v>
      </c>
      <c r="U63">
        <v>75</v>
      </c>
      <c r="V63">
        <v>23</v>
      </c>
      <c r="W63">
        <v>22</v>
      </c>
      <c r="X63">
        <v>32.700000000000003</v>
      </c>
    </row>
    <row r="64" spans="1:24" ht="15.75" x14ac:dyDescent="0.25">
      <c r="A64" t="s">
        <v>24</v>
      </c>
      <c r="B64" s="1" t="s">
        <v>59</v>
      </c>
      <c r="C64">
        <v>1</v>
      </c>
      <c r="D64" s="1">
        <v>0</v>
      </c>
      <c r="E64" s="1">
        <v>0</v>
      </c>
      <c r="F64" t="s">
        <v>26</v>
      </c>
      <c r="G64">
        <v>1</v>
      </c>
      <c r="H64">
        <v>1</v>
      </c>
      <c r="I64">
        <v>0.5</v>
      </c>
      <c r="J64">
        <v>0</v>
      </c>
      <c r="K64">
        <v>0</v>
      </c>
      <c r="L64">
        <v>0</v>
      </c>
      <c r="M64" s="1">
        <v>3</v>
      </c>
      <c r="N64" s="1">
        <v>4</v>
      </c>
      <c r="O64">
        <v>3</v>
      </c>
      <c r="P64">
        <v>4</v>
      </c>
      <c r="Q64">
        <v>0</v>
      </c>
      <c r="R64" t="s">
        <v>26</v>
      </c>
      <c r="S64">
        <v>66.7</v>
      </c>
      <c r="T64" t="s">
        <v>26</v>
      </c>
      <c r="U64">
        <v>66.7</v>
      </c>
      <c r="V64">
        <v>19</v>
      </c>
      <c r="W64">
        <v>31</v>
      </c>
      <c r="X64">
        <v>31</v>
      </c>
    </row>
    <row r="65" spans="1:24" ht="15.75" x14ac:dyDescent="0.25">
      <c r="A65" t="s">
        <v>24</v>
      </c>
      <c r="B65" s="1" t="s">
        <v>47</v>
      </c>
      <c r="C65">
        <v>1</v>
      </c>
      <c r="D65" s="1">
        <v>1</v>
      </c>
      <c r="E65" s="1">
        <v>0</v>
      </c>
      <c r="F65" t="s">
        <v>26</v>
      </c>
      <c r="G65">
        <v>0</v>
      </c>
      <c r="H65">
        <v>2</v>
      </c>
      <c r="I65">
        <v>1</v>
      </c>
      <c r="J65">
        <v>0</v>
      </c>
      <c r="K65">
        <v>1</v>
      </c>
      <c r="L65">
        <v>0</v>
      </c>
      <c r="M65" s="1">
        <v>3</v>
      </c>
      <c r="N65" s="1">
        <v>2</v>
      </c>
      <c r="O65">
        <v>3</v>
      </c>
      <c r="P65">
        <v>2</v>
      </c>
      <c r="Q65">
        <v>0</v>
      </c>
      <c r="R65">
        <v>25</v>
      </c>
      <c r="S65">
        <v>100</v>
      </c>
      <c r="T65">
        <v>25</v>
      </c>
      <c r="U65">
        <v>100</v>
      </c>
      <c r="V65">
        <v>26</v>
      </c>
      <c r="W65">
        <v>25</v>
      </c>
      <c r="X65">
        <v>52.9</v>
      </c>
    </row>
    <row r="66" spans="1:24" ht="15.75" x14ac:dyDescent="0.25">
      <c r="A66" t="s">
        <v>24</v>
      </c>
      <c r="B66" s="1" t="s">
        <v>54</v>
      </c>
      <c r="C66">
        <v>1</v>
      </c>
      <c r="D66" s="1">
        <v>1</v>
      </c>
      <c r="E66" s="1">
        <v>0</v>
      </c>
      <c r="F66" t="s">
        <v>26</v>
      </c>
      <c r="G66">
        <v>0</v>
      </c>
      <c r="H66">
        <v>2</v>
      </c>
      <c r="I66">
        <v>1</v>
      </c>
      <c r="J66">
        <v>0</v>
      </c>
      <c r="K66">
        <v>1</v>
      </c>
      <c r="L66">
        <v>0</v>
      </c>
      <c r="M66" s="1">
        <v>3</v>
      </c>
      <c r="N66" s="1">
        <v>2</v>
      </c>
      <c r="O66">
        <v>3</v>
      </c>
      <c r="P66">
        <v>2</v>
      </c>
      <c r="Q66">
        <v>0</v>
      </c>
      <c r="R66">
        <v>100</v>
      </c>
      <c r="S66">
        <v>100</v>
      </c>
      <c r="T66">
        <v>100</v>
      </c>
      <c r="U66">
        <v>100</v>
      </c>
      <c r="V66">
        <v>23</v>
      </c>
      <c r="W66">
        <v>31</v>
      </c>
      <c r="X66">
        <v>42.9</v>
      </c>
    </row>
    <row r="67" spans="1:24" ht="15.75" x14ac:dyDescent="0.25">
      <c r="A67" t="s">
        <v>24</v>
      </c>
      <c r="B67" s="1" t="s">
        <v>107</v>
      </c>
      <c r="C67">
        <v>1</v>
      </c>
      <c r="D67" s="1">
        <v>0</v>
      </c>
      <c r="E67" s="1">
        <v>1</v>
      </c>
      <c r="F67" t="s">
        <v>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">
        <v>0</v>
      </c>
      <c r="N67" s="1">
        <v>4</v>
      </c>
      <c r="O67">
        <v>0</v>
      </c>
      <c r="P67">
        <v>4</v>
      </c>
      <c r="Q67">
        <v>0</v>
      </c>
      <c r="R67" t="s">
        <v>26</v>
      </c>
      <c r="S67">
        <v>60</v>
      </c>
      <c r="T67" t="s">
        <v>26</v>
      </c>
      <c r="U67">
        <v>60</v>
      </c>
      <c r="V67">
        <v>21</v>
      </c>
      <c r="W67">
        <v>32</v>
      </c>
      <c r="X67">
        <v>56.4</v>
      </c>
    </row>
    <row r="68" spans="1:24" ht="15.75" x14ac:dyDescent="0.25">
      <c r="A68" t="s">
        <v>24</v>
      </c>
      <c r="B68" s="1" t="s">
        <v>50</v>
      </c>
      <c r="C68">
        <v>1</v>
      </c>
      <c r="D68" s="1">
        <v>0</v>
      </c>
      <c r="E68" s="1">
        <v>0</v>
      </c>
      <c r="F68" t="s">
        <v>26</v>
      </c>
      <c r="G68">
        <v>1</v>
      </c>
      <c r="H68">
        <v>1</v>
      </c>
      <c r="I68">
        <v>0.5</v>
      </c>
      <c r="J68">
        <v>0</v>
      </c>
      <c r="K68">
        <v>0</v>
      </c>
      <c r="L68">
        <v>0</v>
      </c>
      <c r="M68" s="1">
        <v>3</v>
      </c>
      <c r="N68" s="1">
        <v>4</v>
      </c>
      <c r="O68">
        <v>3</v>
      </c>
      <c r="P68">
        <v>4</v>
      </c>
      <c r="Q68">
        <v>0</v>
      </c>
      <c r="R68" t="s">
        <v>26</v>
      </c>
      <c r="S68" t="s">
        <v>26</v>
      </c>
      <c r="T68" t="s">
        <v>26</v>
      </c>
      <c r="U68" t="s">
        <v>26</v>
      </c>
      <c r="V68">
        <v>26</v>
      </c>
      <c r="W68">
        <v>37</v>
      </c>
      <c r="X68">
        <v>41.7</v>
      </c>
    </row>
    <row r="69" spans="1:24" ht="15.75" x14ac:dyDescent="0.25">
      <c r="A69" t="s">
        <v>24</v>
      </c>
      <c r="B69" s="1" t="s">
        <v>34</v>
      </c>
      <c r="C69">
        <v>1</v>
      </c>
      <c r="D69" s="1">
        <v>1</v>
      </c>
      <c r="E69" s="1">
        <v>0</v>
      </c>
      <c r="F69" t="s">
        <v>26</v>
      </c>
      <c r="G69">
        <v>0</v>
      </c>
      <c r="H69">
        <v>2</v>
      </c>
      <c r="I69">
        <v>1</v>
      </c>
      <c r="J69">
        <v>1</v>
      </c>
      <c r="K69">
        <v>1</v>
      </c>
      <c r="L69">
        <v>0</v>
      </c>
      <c r="M69" s="1">
        <v>2</v>
      </c>
      <c r="N69" s="1">
        <v>1</v>
      </c>
      <c r="O69">
        <v>2</v>
      </c>
      <c r="P69">
        <v>1</v>
      </c>
      <c r="Q69">
        <v>0</v>
      </c>
      <c r="R69" t="s">
        <v>26</v>
      </c>
      <c r="S69">
        <v>100</v>
      </c>
      <c r="T69" t="s">
        <v>26</v>
      </c>
      <c r="U69">
        <v>100</v>
      </c>
      <c r="V69">
        <v>26</v>
      </c>
      <c r="W69">
        <v>29</v>
      </c>
      <c r="X69">
        <v>46</v>
      </c>
    </row>
    <row r="70" spans="1:24" ht="15.75" x14ac:dyDescent="0.25">
      <c r="A70" t="s">
        <v>24</v>
      </c>
      <c r="B70" s="1" t="s">
        <v>31</v>
      </c>
      <c r="C70">
        <v>1</v>
      </c>
      <c r="D70" s="1">
        <v>0</v>
      </c>
      <c r="E70" s="1">
        <v>1</v>
      </c>
      <c r="F70" t="s">
        <v>26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s="1">
        <v>1</v>
      </c>
      <c r="N70" s="1">
        <v>4</v>
      </c>
      <c r="O70">
        <v>1</v>
      </c>
      <c r="P70">
        <v>4</v>
      </c>
      <c r="Q70">
        <v>0</v>
      </c>
      <c r="R70" t="s">
        <v>26</v>
      </c>
      <c r="S70">
        <v>60</v>
      </c>
      <c r="T70" t="s">
        <v>26</v>
      </c>
      <c r="U70">
        <v>60</v>
      </c>
      <c r="V70">
        <v>20</v>
      </c>
      <c r="W70">
        <v>49</v>
      </c>
      <c r="X70">
        <v>40.799999999999997</v>
      </c>
    </row>
    <row r="71" spans="1:24" ht="15.75" x14ac:dyDescent="0.25">
      <c r="A71" t="s">
        <v>24</v>
      </c>
      <c r="B71" s="1" t="s">
        <v>100</v>
      </c>
      <c r="C71">
        <v>1</v>
      </c>
      <c r="D71" s="1">
        <v>0</v>
      </c>
      <c r="E71" s="1">
        <v>0</v>
      </c>
      <c r="F71" t="s">
        <v>26</v>
      </c>
      <c r="G71">
        <v>1</v>
      </c>
      <c r="H71">
        <v>1</v>
      </c>
      <c r="I71">
        <v>0.5</v>
      </c>
      <c r="J71">
        <v>0</v>
      </c>
      <c r="K71">
        <v>0</v>
      </c>
      <c r="L71">
        <v>0</v>
      </c>
      <c r="M71" s="1">
        <v>2</v>
      </c>
      <c r="N71" s="1">
        <v>3</v>
      </c>
      <c r="O71">
        <v>2</v>
      </c>
      <c r="P71">
        <v>3</v>
      </c>
      <c r="Q71">
        <v>0</v>
      </c>
      <c r="R71" t="s">
        <v>26</v>
      </c>
      <c r="S71">
        <v>100</v>
      </c>
      <c r="T71" t="s">
        <v>26</v>
      </c>
      <c r="U71">
        <v>100</v>
      </c>
      <c r="V71">
        <v>29</v>
      </c>
      <c r="W71">
        <v>33</v>
      </c>
      <c r="X71">
        <v>47.9</v>
      </c>
    </row>
    <row r="72" spans="1:24" ht="15.75" x14ac:dyDescent="0.25">
      <c r="A72" t="s">
        <v>24</v>
      </c>
      <c r="B72" s="1" t="s">
        <v>92</v>
      </c>
      <c r="C72">
        <v>1</v>
      </c>
      <c r="D72" s="1">
        <v>1</v>
      </c>
      <c r="E72" s="1">
        <v>0</v>
      </c>
      <c r="F72" t="s">
        <v>26</v>
      </c>
      <c r="G72">
        <v>0</v>
      </c>
      <c r="H72">
        <v>2</v>
      </c>
      <c r="I72">
        <v>1</v>
      </c>
      <c r="J72">
        <v>1</v>
      </c>
      <c r="K72">
        <v>1</v>
      </c>
      <c r="L72">
        <v>0</v>
      </c>
      <c r="M72" s="1">
        <v>4</v>
      </c>
      <c r="N72" s="1">
        <v>3</v>
      </c>
      <c r="O72">
        <v>4</v>
      </c>
      <c r="P72">
        <v>3</v>
      </c>
      <c r="Q72">
        <v>0</v>
      </c>
      <c r="R72" t="s">
        <v>26</v>
      </c>
      <c r="S72">
        <v>100</v>
      </c>
      <c r="T72" t="s">
        <v>26</v>
      </c>
      <c r="U72">
        <v>100</v>
      </c>
      <c r="V72">
        <v>24</v>
      </c>
      <c r="W72">
        <v>47</v>
      </c>
      <c r="X72">
        <v>41.8</v>
      </c>
    </row>
    <row r="73" spans="1:24" ht="15.75" x14ac:dyDescent="0.25">
      <c r="A73" t="s">
        <v>24</v>
      </c>
      <c r="B73" s="1" t="s">
        <v>101</v>
      </c>
      <c r="C73">
        <v>1</v>
      </c>
      <c r="D73" s="1">
        <v>0</v>
      </c>
      <c r="E73" s="1">
        <v>1</v>
      </c>
      <c r="F73" t="s">
        <v>26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s="1">
        <v>1</v>
      </c>
      <c r="N73" s="1">
        <v>5</v>
      </c>
      <c r="O73">
        <v>1</v>
      </c>
      <c r="P73">
        <v>5</v>
      </c>
      <c r="Q73">
        <v>0</v>
      </c>
      <c r="R73" t="s">
        <v>26</v>
      </c>
      <c r="S73">
        <v>100</v>
      </c>
      <c r="T73" t="s">
        <v>26</v>
      </c>
      <c r="U73">
        <v>100</v>
      </c>
      <c r="V73">
        <v>26</v>
      </c>
      <c r="W73">
        <v>42</v>
      </c>
      <c r="X73">
        <v>38.200000000000003</v>
      </c>
    </row>
    <row r="74" spans="1:24" ht="15.75" x14ac:dyDescent="0.25">
      <c r="A74" t="s">
        <v>24</v>
      </c>
      <c r="B74" s="1" t="s">
        <v>68</v>
      </c>
      <c r="C74">
        <v>1</v>
      </c>
      <c r="D74" s="1">
        <v>0</v>
      </c>
      <c r="E74" s="1">
        <v>1</v>
      </c>
      <c r="F74" t="s">
        <v>26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s="1">
        <v>1</v>
      </c>
      <c r="N74" s="1">
        <v>6</v>
      </c>
      <c r="O74">
        <v>1</v>
      </c>
      <c r="P74">
        <v>6</v>
      </c>
      <c r="Q74">
        <v>0</v>
      </c>
      <c r="R74" t="s">
        <v>26</v>
      </c>
      <c r="S74">
        <v>66.7</v>
      </c>
      <c r="T74" t="s">
        <v>26</v>
      </c>
      <c r="U74">
        <v>66.7</v>
      </c>
      <c r="V74">
        <v>28</v>
      </c>
      <c r="W74">
        <v>38</v>
      </c>
      <c r="X74">
        <v>40</v>
      </c>
    </row>
    <row r="75" spans="1:24" ht="15.75" x14ac:dyDescent="0.25">
      <c r="A75" t="s">
        <v>24</v>
      </c>
      <c r="B75" s="1" t="s">
        <v>48</v>
      </c>
      <c r="C75">
        <v>1</v>
      </c>
      <c r="D75" s="1">
        <v>0</v>
      </c>
      <c r="E75" s="1">
        <v>1</v>
      </c>
      <c r="F75" t="s">
        <v>26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s="1">
        <v>3</v>
      </c>
      <c r="N75" s="1">
        <v>5</v>
      </c>
      <c r="O75">
        <v>3</v>
      </c>
      <c r="P75">
        <v>5</v>
      </c>
      <c r="Q75">
        <v>0</v>
      </c>
      <c r="R75">
        <v>33.299999999999997</v>
      </c>
      <c r="S75">
        <v>50</v>
      </c>
      <c r="T75">
        <v>33.299999999999997</v>
      </c>
      <c r="U75">
        <v>50</v>
      </c>
      <c r="V75">
        <v>31</v>
      </c>
      <c r="W75">
        <v>40</v>
      </c>
      <c r="X75">
        <v>39.700000000000003</v>
      </c>
    </row>
    <row r="76" spans="1:24" ht="15.75" x14ac:dyDescent="0.25">
      <c r="A76" t="s">
        <v>24</v>
      </c>
      <c r="B76" s="1" t="s">
        <v>49</v>
      </c>
      <c r="C76">
        <v>1</v>
      </c>
      <c r="D76" s="1">
        <v>0</v>
      </c>
      <c r="E76" s="1">
        <v>0</v>
      </c>
      <c r="F76" t="s">
        <v>26</v>
      </c>
      <c r="G76">
        <v>1</v>
      </c>
      <c r="H76">
        <v>1</v>
      </c>
      <c r="I76">
        <v>0.5</v>
      </c>
      <c r="J76">
        <v>0</v>
      </c>
      <c r="K76">
        <v>0</v>
      </c>
      <c r="L76">
        <v>0</v>
      </c>
      <c r="M76" s="1">
        <v>3</v>
      </c>
      <c r="N76" s="1">
        <v>4</v>
      </c>
      <c r="O76">
        <v>3</v>
      </c>
      <c r="P76">
        <v>4</v>
      </c>
      <c r="Q76">
        <v>0</v>
      </c>
      <c r="R76" t="s">
        <v>26</v>
      </c>
      <c r="S76" t="s">
        <v>26</v>
      </c>
      <c r="T76" t="s">
        <v>26</v>
      </c>
      <c r="U76" t="s">
        <v>26</v>
      </c>
      <c r="V76">
        <v>21</v>
      </c>
      <c r="W76">
        <v>24</v>
      </c>
      <c r="X76">
        <v>33.299999999999997</v>
      </c>
    </row>
    <row r="77" spans="1:24" ht="15.75" x14ac:dyDescent="0.25">
      <c r="A77" t="s">
        <v>24</v>
      </c>
      <c r="B77" s="1" t="s">
        <v>66</v>
      </c>
      <c r="C77">
        <v>1</v>
      </c>
      <c r="D77" s="1">
        <v>0</v>
      </c>
      <c r="E77" s="1">
        <v>1</v>
      </c>
      <c r="F77" t="s">
        <v>26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s="1">
        <v>1</v>
      </c>
      <c r="N77" s="1">
        <v>3</v>
      </c>
      <c r="O77">
        <v>1</v>
      </c>
      <c r="P77">
        <v>3</v>
      </c>
      <c r="Q77">
        <v>0</v>
      </c>
      <c r="R77" t="s">
        <v>26</v>
      </c>
      <c r="S77">
        <v>66.7</v>
      </c>
      <c r="T77" t="s">
        <v>26</v>
      </c>
      <c r="U77">
        <v>66.7</v>
      </c>
      <c r="V77">
        <v>18</v>
      </c>
      <c r="W77">
        <v>39</v>
      </c>
      <c r="X77">
        <v>50</v>
      </c>
    </row>
    <row r="78" spans="1:24" ht="15.75" x14ac:dyDescent="0.25">
      <c r="A78" t="s">
        <v>24</v>
      </c>
      <c r="B78" s="1" t="s">
        <v>39</v>
      </c>
      <c r="C78">
        <v>1</v>
      </c>
      <c r="D78" s="1">
        <v>1</v>
      </c>
      <c r="E78" s="1">
        <v>0</v>
      </c>
      <c r="F78" t="s">
        <v>26</v>
      </c>
      <c r="G78">
        <v>0</v>
      </c>
      <c r="H78">
        <v>2</v>
      </c>
      <c r="I78">
        <v>1</v>
      </c>
      <c r="J78">
        <v>1</v>
      </c>
      <c r="K78">
        <v>1</v>
      </c>
      <c r="L78">
        <v>0</v>
      </c>
      <c r="M78" s="1">
        <v>4</v>
      </c>
      <c r="N78" s="1">
        <v>2</v>
      </c>
      <c r="O78">
        <v>4</v>
      </c>
      <c r="P78">
        <v>2</v>
      </c>
      <c r="Q78">
        <v>0</v>
      </c>
      <c r="R78">
        <v>33.299999999999997</v>
      </c>
      <c r="S78">
        <v>100</v>
      </c>
      <c r="T78">
        <v>33.299999999999997</v>
      </c>
      <c r="U78">
        <v>100</v>
      </c>
      <c r="V78">
        <v>31</v>
      </c>
      <c r="W78">
        <v>27</v>
      </c>
      <c r="X78">
        <v>44.6</v>
      </c>
    </row>
    <row r="79" spans="1:24" ht="15.75" x14ac:dyDescent="0.25">
      <c r="A79" t="s">
        <v>24</v>
      </c>
      <c r="B79" s="1" t="s">
        <v>98</v>
      </c>
      <c r="C79">
        <v>1</v>
      </c>
      <c r="D79" s="1">
        <v>0</v>
      </c>
      <c r="E79" s="1">
        <v>1</v>
      </c>
      <c r="F79" t="s">
        <v>26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s="1">
        <v>2</v>
      </c>
      <c r="N79" s="1">
        <v>3</v>
      </c>
      <c r="O79">
        <v>2</v>
      </c>
      <c r="P79">
        <v>3</v>
      </c>
      <c r="Q79">
        <v>0</v>
      </c>
      <c r="R79">
        <v>33.299999999999997</v>
      </c>
      <c r="S79">
        <v>100</v>
      </c>
      <c r="T79">
        <v>33.299999999999997</v>
      </c>
      <c r="U79">
        <v>100</v>
      </c>
      <c r="V79">
        <v>29</v>
      </c>
      <c r="W79">
        <v>23</v>
      </c>
      <c r="X79">
        <v>30.8</v>
      </c>
    </row>
    <row r="80" spans="1:24" ht="15.75" x14ac:dyDescent="0.25">
      <c r="A80" t="s">
        <v>24</v>
      </c>
      <c r="B80" s="1" t="s">
        <v>64</v>
      </c>
      <c r="C80">
        <v>1</v>
      </c>
      <c r="D80" s="1">
        <v>0</v>
      </c>
      <c r="E80" s="1">
        <v>1</v>
      </c>
      <c r="F80" t="s">
        <v>26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s="1">
        <v>2</v>
      </c>
      <c r="N80" s="1">
        <v>7</v>
      </c>
      <c r="O80">
        <v>2</v>
      </c>
      <c r="P80">
        <v>7</v>
      </c>
      <c r="Q80">
        <v>0</v>
      </c>
      <c r="R80" t="s">
        <v>26</v>
      </c>
      <c r="S80">
        <v>100</v>
      </c>
      <c r="T80" t="s">
        <v>26</v>
      </c>
      <c r="U80">
        <v>100</v>
      </c>
      <c r="V80">
        <v>25</v>
      </c>
      <c r="W80">
        <v>22</v>
      </c>
      <c r="X80">
        <v>50.8</v>
      </c>
    </row>
    <row r="81" spans="1:24" ht="15.75" x14ac:dyDescent="0.25">
      <c r="A81" t="s">
        <v>24</v>
      </c>
      <c r="B81" s="1" t="s">
        <v>78</v>
      </c>
      <c r="C81">
        <v>1</v>
      </c>
      <c r="D81" s="1">
        <v>0</v>
      </c>
      <c r="E81" s="1">
        <v>1</v>
      </c>
      <c r="F81" t="s">
        <v>26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s="1">
        <v>3</v>
      </c>
      <c r="N81" s="1">
        <v>5</v>
      </c>
      <c r="O81">
        <v>3</v>
      </c>
      <c r="P81">
        <v>5</v>
      </c>
      <c r="Q81">
        <v>0</v>
      </c>
      <c r="R81" t="s">
        <v>26</v>
      </c>
      <c r="S81" t="s">
        <v>26</v>
      </c>
      <c r="T81" t="s">
        <v>26</v>
      </c>
      <c r="U81" t="s">
        <v>26</v>
      </c>
      <c r="V81">
        <v>34</v>
      </c>
      <c r="W81">
        <v>28</v>
      </c>
      <c r="X81">
        <v>50.9</v>
      </c>
    </row>
    <row r="82" spans="1:24" ht="15.75" x14ac:dyDescent="0.25">
      <c r="A82" t="s">
        <v>24</v>
      </c>
      <c r="B82" s="1" t="s">
        <v>70</v>
      </c>
      <c r="C82">
        <v>1</v>
      </c>
      <c r="D82" s="1">
        <v>0</v>
      </c>
      <c r="E82" s="1">
        <v>1</v>
      </c>
      <c r="F82" t="s">
        <v>26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s="1">
        <v>1</v>
      </c>
      <c r="N82" s="1">
        <v>5</v>
      </c>
      <c r="O82">
        <v>1</v>
      </c>
      <c r="P82">
        <v>5</v>
      </c>
      <c r="Q82">
        <v>0</v>
      </c>
      <c r="R82" t="s">
        <v>26</v>
      </c>
      <c r="S82">
        <v>100</v>
      </c>
      <c r="T82" t="s">
        <v>26</v>
      </c>
      <c r="U82">
        <v>150</v>
      </c>
      <c r="V82">
        <v>16</v>
      </c>
      <c r="W82">
        <v>26</v>
      </c>
      <c r="X82">
        <v>44.6</v>
      </c>
    </row>
    <row r="83" spans="1:24" ht="15.75" x14ac:dyDescent="0.25">
      <c r="A83" t="s">
        <v>24</v>
      </c>
      <c r="B83" s="1" t="s">
        <v>96</v>
      </c>
      <c r="C83">
        <v>1</v>
      </c>
      <c r="D83" s="1">
        <v>1</v>
      </c>
      <c r="E83" s="1">
        <v>0</v>
      </c>
      <c r="F83" t="s">
        <v>26</v>
      </c>
      <c r="G83">
        <v>0</v>
      </c>
      <c r="H83">
        <v>2</v>
      </c>
      <c r="I83">
        <v>1</v>
      </c>
      <c r="J83">
        <v>1</v>
      </c>
      <c r="K83">
        <v>1</v>
      </c>
      <c r="L83">
        <v>0</v>
      </c>
      <c r="M83" s="1">
        <v>5</v>
      </c>
      <c r="N83" s="1">
        <v>2</v>
      </c>
      <c r="O83">
        <v>5</v>
      </c>
      <c r="P83">
        <v>2</v>
      </c>
      <c r="Q83">
        <v>0</v>
      </c>
      <c r="R83" t="s">
        <v>26</v>
      </c>
      <c r="S83">
        <v>75</v>
      </c>
      <c r="T83" t="s">
        <v>26</v>
      </c>
      <c r="U83">
        <v>75</v>
      </c>
      <c r="V83">
        <v>24</v>
      </c>
      <c r="W83">
        <v>17</v>
      </c>
      <c r="X83">
        <v>47.6</v>
      </c>
    </row>
    <row r="85" spans="1:24" x14ac:dyDescent="0.25">
      <c r="A85" s="3" t="s">
        <v>108</v>
      </c>
      <c r="B85" s="3">
        <f>AVERAGE(M5:M83)</f>
        <v>2.5696202531645569</v>
      </c>
    </row>
    <row r="86" spans="1:24" x14ac:dyDescent="0.25">
      <c r="A86" s="3" t="s">
        <v>109</v>
      </c>
      <c r="B86" s="3">
        <f>AVERAGE(M2:M82)</f>
        <v>2.5308641975308643</v>
      </c>
    </row>
    <row r="88" spans="1:24" x14ac:dyDescent="0.25">
      <c r="A88" s="4" t="s">
        <v>110</v>
      </c>
      <c r="B88" s="4">
        <f>AVERAGE(N5:N83)</f>
        <v>3.2911392405063293</v>
      </c>
    </row>
    <row r="89" spans="1:24" x14ac:dyDescent="0.25">
      <c r="A89" s="4" t="s">
        <v>111</v>
      </c>
      <c r="B89" s="4">
        <f>AVERAGE(N2:N82)</f>
        <v>3.308641975308642</v>
      </c>
    </row>
  </sheetData>
  <autoFilter ref="A1:X83" xr:uid="{00000000-0001-0000-0000-000000000000}"/>
  <sortState xmlns:xlrd2="http://schemas.microsoft.com/office/spreadsheetml/2017/richdata2" ref="A2:X83">
    <sortCondition ref="B2:B83"/>
  </sortState>
  <pageMargins left="0.7" right="0.7" top="0.75" bottom="0.75" header="0.3" footer="0.3"/>
  <ignoredErrors>
    <ignoredError sqref="A1:C1 E1:X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1B25-C941-4E4C-A628-C1D91C9DB78F}">
  <dimension ref="A1:X15"/>
  <sheetViews>
    <sheetView workbookViewId="0">
      <selection activeCell="H20" sqref="H20"/>
    </sheetView>
  </sheetViews>
  <sheetFormatPr defaultRowHeight="15.75" x14ac:dyDescent="0.25"/>
  <cols>
    <col min="6" max="6" width="14.5" bestFit="1" customWidth="1"/>
  </cols>
  <sheetData>
    <row r="1" spans="1:24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 t="s">
        <v>40</v>
      </c>
      <c r="C2">
        <v>1</v>
      </c>
      <c r="D2" s="1">
        <v>0</v>
      </c>
      <c r="E2" s="1">
        <v>1</v>
      </c>
      <c r="F2" t="s">
        <v>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2</v>
      </c>
      <c r="N2" s="1">
        <v>3</v>
      </c>
      <c r="O2">
        <v>2</v>
      </c>
      <c r="P2">
        <v>3</v>
      </c>
      <c r="Q2">
        <v>0</v>
      </c>
      <c r="R2" t="s">
        <v>26</v>
      </c>
      <c r="S2">
        <v>50</v>
      </c>
      <c r="T2" t="s">
        <v>26</v>
      </c>
      <c r="U2">
        <v>50</v>
      </c>
      <c r="V2">
        <v>19</v>
      </c>
      <c r="W2">
        <v>37</v>
      </c>
      <c r="X2">
        <v>41.4</v>
      </c>
    </row>
    <row r="3" spans="1:24" x14ac:dyDescent="0.25">
      <c r="A3" t="s">
        <v>24</v>
      </c>
      <c r="B3" s="1" t="s">
        <v>38</v>
      </c>
      <c r="C3">
        <v>1</v>
      </c>
      <c r="D3" s="1">
        <v>0</v>
      </c>
      <c r="E3" s="1">
        <v>0</v>
      </c>
      <c r="F3" t="s">
        <v>26</v>
      </c>
      <c r="G3">
        <v>1</v>
      </c>
      <c r="H3">
        <v>1</v>
      </c>
      <c r="I3">
        <v>0.5</v>
      </c>
      <c r="J3">
        <v>0</v>
      </c>
      <c r="K3">
        <v>0</v>
      </c>
      <c r="L3">
        <v>0</v>
      </c>
      <c r="M3" s="1">
        <v>3</v>
      </c>
      <c r="N3" s="1">
        <v>4</v>
      </c>
      <c r="O3">
        <v>3</v>
      </c>
      <c r="P3">
        <v>4</v>
      </c>
      <c r="Q3">
        <v>0</v>
      </c>
      <c r="R3" t="s">
        <v>26</v>
      </c>
      <c r="S3">
        <v>80</v>
      </c>
      <c r="T3" t="s">
        <v>26</v>
      </c>
      <c r="U3">
        <v>80</v>
      </c>
      <c r="V3">
        <v>24</v>
      </c>
      <c r="W3">
        <v>33</v>
      </c>
      <c r="X3">
        <v>41.5</v>
      </c>
    </row>
    <row r="4" spans="1:24" x14ac:dyDescent="0.25">
      <c r="A4" t="s">
        <v>24</v>
      </c>
      <c r="B4" s="1" t="s">
        <v>69</v>
      </c>
      <c r="C4">
        <v>1</v>
      </c>
      <c r="D4" s="1">
        <v>0</v>
      </c>
      <c r="E4" s="1">
        <v>1</v>
      </c>
      <c r="F4" t="s">
        <v>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2</v>
      </c>
      <c r="N4" s="1">
        <v>3</v>
      </c>
      <c r="O4">
        <v>2</v>
      </c>
      <c r="P4">
        <v>3</v>
      </c>
      <c r="Q4">
        <v>0</v>
      </c>
      <c r="R4">
        <v>25</v>
      </c>
      <c r="S4">
        <v>80</v>
      </c>
      <c r="T4">
        <v>25</v>
      </c>
      <c r="U4">
        <v>80</v>
      </c>
      <c r="V4">
        <v>22</v>
      </c>
      <c r="W4">
        <v>28</v>
      </c>
      <c r="X4">
        <v>38.5</v>
      </c>
    </row>
    <row r="5" spans="1:24" x14ac:dyDescent="0.25">
      <c r="A5" t="s">
        <v>24</v>
      </c>
      <c r="B5" s="1" t="s">
        <v>88</v>
      </c>
      <c r="C5">
        <v>1</v>
      </c>
      <c r="D5" s="1">
        <v>1</v>
      </c>
      <c r="E5" s="1">
        <v>0</v>
      </c>
      <c r="F5" t="s">
        <v>26</v>
      </c>
      <c r="G5">
        <v>0</v>
      </c>
      <c r="H5">
        <v>2</v>
      </c>
      <c r="I5">
        <v>1</v>
      </c>
      <c r="J5">
        <v>1</v>
      </c>
      <c r="K5">
        <v>1</v>
      </c>
      <c r="L5">
        <v>0</v>
      </c>
      <c r="M5" s="1">
        <v>3</v>
      </c>
      <c r="N5" s="1">
        <v>1</v>
      </c>
      <c r="O5">
        <v>3</v>
      </c>
      <c r="P5">
        <v>1</v>
      </c>
      <c r="Q5">
        <v>0</v>
      </c>
      <c r="R5">
        <v>33.299999999999997</v>
      </c>
      <c r="S5">
        <v>100</v>
      </c>
      <c r="T5">
        <v>33.299999999999997</v>
      </c>
      <c r="U5">
        <v>100</v>
      </c>
      <c r="V5">
        <v>14</v>
      </c>
      <c r="W5">
        <v>22</v>
      </c>
      <c r="X5">
        <v>45.3</v>
      </c>
    </row>
    <row r="6" spans="1:24" x14ac:dyDescent="0.25">
      <c r="A6" t="s">
        <v>24</v>
      </c>
      <c r="B6" s="1" t="s">
        <v>76</v>
      </c>
      <c r="C6">
        <v>1</v>
      </c>
      <c r="D6" s="1">
        <v>1</v>
      </c>
      <c r="E6" s="1">
        <v>0</v>
      </c>
      <c r="F6" t="s">
        <v>26</v>
      </c>
      <c r="G6">
        <v>0</v>
      </c>
      <c r="H6">
        <v>2</v>
      </c>
      <c r="I6">
        <v>1</v>
      </c>
      <c r="J6">
        <v>1</v>
      </c>
      <c r="K6">
        <v>1</v>
      </c>
      <c r="L6">
        <v>0</v>
      </c>
      <c r="M6" s="1">
        <v>8</v>
      </c>
      <c r="N6" s="1">
        <v>3</v>
      </c>
      <c r="O6">
        <v>8</v>
      </c>
      <c r="P6">
        <v>3</v>
      </c>
      <c r="Q6">
        <v>0</v>
      </c>
      <c r="R6">
        <v>33.299999999999997</v>
      </c>
      <c r="S6">
        <v>100</v>
      </c>
      <c r="T6">
        <v>33.299999999999997</v>
      </c>
      <c r="U6">
        <v>100</v>
      </c>
      <c r="V6">
        <v>29</v>
      </c>
      <c r="W6">
        <v>26</v>
      </c>
      <c r="X6">
        <v>55.6</v>
      </c>
    </row>
    <row r="7" spans="1:24" x14ac:dyDescent="0.25">
      <c r="A7" t="s">
        <v>24</v>
      </c>
      <c r="B7" s="1" t="s">
        <v>27</v>
      </c>
      <c r="C7">
        <v>1</v>
      </c>
      <c r="D7" s="1">
        <v>0</v>
      </c>
      <c r="E7" s="1">
        <v>0</v>
      </c>
      <c r="F7" t="s">
        <v>26</v>
      </c>
      <c r="G7">
        <v>1</v>
      </c>
      <c r="H7">
        <v>1</v>
      </c>
      <c r="I7">
        <v>0.5</v>
      </c>
      <c r="J7">
        <v>0</v>
      </c>
      <c r="K7">
        <v>0</v>
      </c>
      <c r="L7">
        <v>0</v>
      </c>
      <c r="M7" s="1">
        <v>2</v>
      </c>
      <c r="N7" s="1">
        <v>2</v>
      </c>
      <c r="O7">
        <v>2</v>
      </c>
      <c r="P7">
        <v>2</v>
      </c>
      <c r="Q7">
        <v>0</v>
      </c>
      <c r="R7">
        <v>33.299999999999997</v>
      </c>
      <c r="S7">
        <v>83.3</v>
      </c>
      <c r="T7">
        <v>33.299999999999997</v>
      </c>
      <c r="U7">
        <v>83.3</v>
      </c>
      <c r="V7">
        <v>33</v>
      </c>
      <c r="W7">
        <v>32</v>
      </c>
      <c r="X7">
        <v>58.2</v>
      </c>
    </row>
    <row r="8" spans="1:24" x14ac:dyDescent="0.25">
      <c r="A8" t="s">
        <v>24</v>
      </c>
      <c r="B8" s="1" t="s">
        <v>28</v>
      </c>
      <c r="C8">
        <v>1</v>
      </c>
      <c r="D8" s="1">
        <v>1</v>
      </c>
      <c r="E8" s="1">
        <v>0</v>
      </c>
      <c r="F8" t="s">
        <v>26</v>
      </c>
      <c r="G8">
        <v>0</v>
      </c>
      <c r="H8">
        <v>2</v>
      </c>
      <c r="I8">
        <v>1</v>
      </c>
      <c r="J8">
        <v>0</v>
      </c>
      <c r="K8">
        <v>1</v>
      </c>
      <c r="L8">
        <v>0</v>
      </c>
      <c r="M8" s="1">
        <v>2</v>
      </c>
      <c r="N8" s="1">
        <v>1</v>
      </c>
      <c r="O8">
        <v>2</v>
      </c>
      <c r="P8">
        <v>1</v>
      </c>
      <c r="Q8">
        <v>0</v>
      </c>
      <c r="R8" t="s">
        <v>26</v>
      </c>
      <c r="S8">
        <v>80</v>
      </c>
      <c r="T8" t="s">
        <v>26</v>
      </c>
      <c r="U8">
        <v>80</v>
      </c>
      <c r="V8">
        <v>30</v>
      </c>
      <c r="W8">
        <v>39</v>
      </c>
      <c r="X8">
        <v>55.6</v>
      </c>
    </row>
    <row r="9" spans="1:24" x14ac:dyDescent="0.25">
      <c r="A9" t="s">
        <v>24</v>
      </c>
      <c r="B9" s="1" t="s">
        <v>89</v>
      </c>
      <c r="C9">
        <v>1</v>
      </c>
      <c r="D9" s="1">
        <v>1</v>
      </c>
      <c r="E9" s="1">
        <v>0</v>
      </c>
      <c r="F9" t="s">
        <v>26</v>
      </c>
      <c r="G9">
        <v>0</v>
      </c>
      <c r="H9">
        <v>2</v>
      </c>
      <c r="I9">
        <v>1</v>
      </c>
      <c r="J9">
        <v>1</v>
      </c>
      <c r="K9">
        <v>1</v>
      </c>
      <c r="L9">
        <v>0</v>
      </c>
      <c r="M9" s="1">
        <v>3</v>
      </c>
      <c r="N9" s="1">
        <v>2</v>
      </c>
      <c r="O9">
        <v>3</v>
      </c>
      <c r="P9">
        <v>2</v>
      </c>
      <c r="Q9">
        <v>0</v>
      </c>
      <c r="R9">
        <v>20</v>
      </c>
      <c r="S9">
        <v>100</v>
      </c>
      <c r="T9">
        <v>20</v>
      </c>
      <c r="U9">
        <v>100</v>
      </c>
      <c r="V9">
        <v>25</v>
      </c>
      <c r="W9">
        <v>31</v>
      </c>
      <c r="X9">
        <v>39.200000000000003</v>
      </c>
    </row>
    <row r="10" spans="1:24" x14ac:dyDescent="0.25">
      <c r="A10" t="s">
        <v>24</v>
      </c>
      <c r="B10" s="1" t="s">
        <v>97</v>
      </c>
      <c r="C10">
        <v>1</v>
      </c>
      <c r="D10" s="1">
        <v>0</v>
      </c>
      <c r="E10" s="1">
        <v>1</v>
      </c>
      <c r="F10" t="s">
        <v>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1</v>
      </c>
      <c r="N10" s="1">
        <v>3</v>
      </c>
      <c r="O10">
        <v>1</v>
      </c>
      <c r="P10">
        <v>3</v>
      </c>
      <c r="Q10">
        <v>0</v>
      </c>
      <c r="R10" t="s">
        <v>26</v>
      </c>
      <c r="S10">
        <v>100</v>
      </c>
      <c r="T10">
        <v>-20</v>
      </c>
      <c r="U10">
        <v>100</v>
      </c>
      <c r="V10">
        <v>23</v>
      </c>
      <c r="W10">
        <v>22</v>
      </c>
      <c r="X10">
        <v>55.6</v>
      </c>
    </row>
    <row r="11" spans="1:24" x14ac:dyDescent="0.25">
      <c r="A11" t="s">
        <v>24</v>
      </c>
      <c r="B11" s="1" t="s">
        <v>106</v>
      </c>
      <c r="C11">
        <v>1</v>
      </c>
      <c r="D11" s="1">
        <v>1</v>
      </c>
      <c r="E11" s="1">
        <v>0</v>
      </c>
      <c r="F11" t="s">
        <v>26</v>
      </c>
      <c r="G11">
        <v>0</v>
      </c>
      <c r="H11">
        <v>2</v>
      </c>
      <c r="I11">
        <v>1</v>
      </c>
      <c r="J11">
        <v>1</v>
      </c>
      <c r="K11">
        <v>1</v>
      </c>
      <c r="L11">
        <v>0</v>
      </c>
      <c r="M11" s="1">
        <v>7</v>
      </c>
      <c r="N11" s="1">
        <v>3</v>
      </c>
      <c r="O11">
        <v>7</v>
      </c>
      <c r="P11">
        <v>3</v>
      </c>
      <c r="Q11">
        <v>0</v>
      </c>
      <c r="R11">
        <v>100</v>
      </c>
      <c r="S11">
        <v>100</v>
      </c>
      <c r="T11">
        <v>100</v>
      </c>
      <c r="U11">
        <v>125</v>
      </c>
      <c r="V11">
        <v>26</v>
      </c>
      <c r="W11">
        <v>24</v>
      </c>
      <c r="X11">
        <v>43.8</v>
      </c>
    </row>
    <row r="12" spans="1:24" x14ac:dyDescent="0.25">
      <c r="A12" t="s">
        <v>24</v>
      </c>
      <c r="B12" s="1" t="s">
        <v>41</v>
      </c>
      <c r="C12">
        <v>1</v>
      </c>
      <c r="D12" s="1">
        <v>0</v>
      </c>
      <c r="E12" s="1">
        <v>1</v>
      </c>
      <c r="F12" t="s">
        <v>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3</v>
      </c>
      <c r="N12" s="1">
        <v>6</v>
      </c>
      <c r="O12">
        <v>3</v>
      </c>
      <c r="P12">
        <v>6</v>
      </c>
      <c r="Q12">
        <v>0</v>
      </c>
      <c r="R12" t="s">
        <v>26</v>
      </c>
      <c r="S12">
        <v>66.7</v>
      </c>
      <c r="T12" t="s">
        <v>26</v>
      </c>
      <c r="U12">
        <v>66.7</v>
      </c>
      <c r="V12">
        <v>24</v>
      </c>
      <c r="W12">
        <v>32</v>
      </c>
      <c r="X12">
        <v>43.4</v>
      </c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4" x14ac:dyDescent="0.25">
      <c r="A14" t="s">
        <v>112</v>
      </c>
      <c r="B14" s="2" t="s">
        <v>113</v>
      </c>
      <c r="C14" t="s">
        <v>114</v>
      </c>
      <c r="D14" t="s">
        <v>115</v>
      </c>
      <c r="E14" t="s">
        <v>3</v>
      </c>
      <c r="F14" t="s">
        <v>116</v>
      </c>
      <c r="G14" t="s">
        <v>117</v>
      </c>
    </row>
    <row r="15" spans="1:24" x14ac:dyDescent="0.25">
      <c r="A15" s="5">
        <v>45931</v>
      </c>
      <c r="B15">
        <f>SUM(C2:C12)</f>
        <v>11</v>
      </c>
      <c r="C15">
        <f>AVERAGE(M2:M12)</f>
        <v>3.2727272727272729</v>
      </c>
      <c r="D15">
        <f>AVERAGE(N2:N12)</f>
        <v>2.8181818181818183</v>
      </c>
      <c r="E15">
        <f>COUNTIF(D2:D12, "1")</f>
        <v>5</v>
      </c>
      <c r="F15">
        <f>(SUM(M2:M12)-(SUM(N2:N12)))</f>
        <v>5</v>
      </c>
      <c r="G15" s="6">
        <f>E15/B15</f>
        <v>0.45454545454545453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7795-D485-4721-A755-F3D652ECFC16}">
  <dimension ref="A1:X18"/>
  <sheetViews>
    <sheetView workbookViewId="0">
      <selection activeCell="G21" sqref="G21"/>
    </sheetView>
  </sheetViews>
  <sheetFormatPr defaultRowHeight="15.75" x14ac:dyDescent="0.25"/>
  <cols>
    <col min="6" max="6" width="14.5" bestFit="1" customWidth="1"/>
  </cols>
  <sheetData>
    <row r="1" spans="1:24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 t="s">
        <v>75</v>
      </c>
      <c r="C2">
        <v>1</v>
      </c>
      <c r="D2" s="1">
        <v>0</v>
      </c>
      <c r="E2" s="1">
        <v>0</v>
      </c>
      <c r="F2" t="s">
        <v>26</v>
      </c>
      <c r="G2">
        <v>1</v>
      </c>
      <c r="H2">
        <v>1</v>
      </c>
      <c r="I2">
        <v>0.5</v>
      </c>
      <c r="J2">
        <v>0</v>
      </c>
      <c r="K2">
        <v>0</v>
      </c>
      <c r="L2">
        <v>0</v>
      </c>
      <c r="M2" s="1">
        <v>2</v>
      </c>
      <c r="N2" s="1">
        <v>3</v>
      </c>
      <c r="O2">
        <v>2</v>
      </c>
      <c r="P2">
        <v>3</v>
      </c>
      <c r="Q2">
        <v>0</v>
      </c>
      <c r="R2">
        <v>100</v>
      </c>
      <c r="S2">
        <v>33.299999999999997</v>
      </c>
      <c r="T2">
        <v>100</v>
      </c>
      <c r="U2">
        <v>33.299999999999997</v>
      </c>
      <c r="V2">
        <v>29</v>
      </c>
      <c r="W2">
        <v>30</v>
      </c>
      <c r="X2">
        <v>44.4</v>
      </c>
    </row>
    <row r="3" spans="1:24" x14ac:dyDescent="0.25">
      <c r="A3" t="s">
        <v>24</v>
      </c>
      <c r="B3" s="1" t="s">
        <v>60</v>
      </c>
      <c r="C3">
        <v>1</v>
      </c>
      <c r="D3" s="1">
        <v>0</v>
      </c>
      <c r="E3" s="1">
        <v>1</v>
      </c>
      <c r="F3" t="s">
        <v>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v>1</v>
      </c>
      <c r="N3" s="1">
        <v>3</v>
      </c>
      <c r="O3">
        <v>1</v>
      </c>
      <c r="P3">
        <v>3</v>
      </c>
      <c r="Q3">
        <v>0</v>
      </c>
      <c r="R3" t="s">
        <v>26</v>
      </c>
      <c r="S3">
        <v>50</v>
      </c>
      <c r="T3" t="s">
        <v>26</v>
      </c>
      <c r="U3">
        <v>50</v>
      </c>
      <c r="V3">
        <v>30</v>
      </c>
      <c r="W3">
        <v>24</v>
      </c>
      <c r="X3">
        <v>57.9</v>
      </c>
    </row>
    <row r="4" spans="1:24" x14ac:dyDescent="0.25">
      <c r="A4" t="s">
        <v>24</v>
      </c>
      <c r="B4" s="1" t="s">
        <v>43</v>
      </c>
      <c r="C4">
        <v>1</v>
      </c>
      <c r="D4" s="1">
        <v>1</v>
      </c>
      <c r="E4" s="1">
        <v>0</v>
      </c>
      <c r="F4" t="s">
        <v>26</v>
      </c>
      <c r="G4">
        <v>0</v>
      </c>
      <c r="H4">
        <v>2</v>
      </c>
      <c r="I4">
        <v>1</v>
      </c>
      <c r="J4">
        <v>1</v>
      </c>
      <c r="K4">
        <v>1</v>
      </c>
      <c r="L4">
        <v>0</v>
      </c>
      <c r="M4" s="1">
        <v>5</v>
      </c>
      <c r="N4" s="1">
        <v>2</v>
      </c>
      <c r="O4">
        <v>5</v>
      </c>
      <c r="P4">
        <v>2</v>
      </c>
      <c r="Q4">
        <v>0</v>
      </c>
      <c r="R4">
        <v>100</v>
      </c>
      <c r="S4">
        <v>100</v>
      </c>
      <c r="T4">
        <v>100</v>
      </c>
      <c r="U4">
        <v>100</v>
      </c>
      <c r="V4">
        <v>28</v>
      </c>
      <c r="W4">
        <v>45</v>
      </c>
      <c r="X4">
        <v>44.4</v>
      </c>
    </row>
    <row r="5" spans="1:24" x14ac:dyDescent="0.25">
      <c r="A5" t="s">
        <v>24</v>
      </c>
      <c r="B5" s="1" t="s">
        <v>90</v>
      </c>
      <c r="C5">
        <v>1</v>
      </c>
      <c r="D5" s="1">
        <v>1</v>
      </c>
      <c r="E5" s="1">
        <v>0</v>
      </c>
      <c r="F5" t="s">
        <v>26</v>
      </c>
      <c r="G5">
        <v>0</v>
      </c>
      <c r="H5">
        <v>2</v>
      </c>
      <c r="I5">
        <v>1</v>
      </c>
      <c r="J5">
        <v>1</v>
      </c>
      <c r="K5">
        <v>1</v>
      </c>
      <c r="L5">
        <v>0</v>
      </c>
      <c r="M5" s="1">
        <v>4</v>
      </c>
      <c r="N5" s="1">
        <v>0</v>
      </c>
      <c r="O5">
        <v>4</v>
      </c>
      <c r="P5">
        <v>0</v>
      </c>
      <c r="Q5">
        <v>1</v>
      </c>
      <c r="R5">
        <v>33.299999999999997</v>
      </c>
      <c r="S5">
        <v>100</v>
      </c>
      <c r="T5">
        <v>33.299999999999997</v>
      </c>
      <c r="U5">
        <v>100</v>
      </c>
      <c r="V5">
        <v>27</v>
      </c>
      <c r="W5">
        <v>33</v>
      </c>
      <c r="X5">
        <v>41.7</v>
      </c>
    </row>
    <row r="6" spans="1:24" x14ac:dyDescent="0.25">
      <c r="A6" t="s">
        <v>24</v>
      </c>
      <c r="B6" s="1" t="s">
        <v>36</v>
      </c>
      <c r="C6">
        <v>1</v>
      </c>
      <c r="D6" s="1">
        <v>1</v>
      </c>
      <c r="E6" s="1">
        <v>0</v>
      </c>
      <c r="F6" t="s">
        <v>26</v>
      </c>
      <c r="G6">
        <v>0</v>
      </c>
      <c r="H6">
        <v>2</v>
      </c>
      <c r="I6">
        <v>1</v>
      </c>
      <c r="J6">
        <v>1</v>
      </c>
      <c r="K6">
        <v>1</v>
      </c>
      <c r="L6">
        <v>0</v>
      </c>
      <c r="M6" s="1">
        <v>5</v>
      </c>
      <c r="N6" s="1">
        <v>1</v>
      </c>
      <c r="O6">
        <v>5</v>
      </c>
      <c r="P6">
        <v>1</v>
      </c>
      <c r="Q6">
        <v>0</v>
      </c>
      <c r="R6">
        <v>100</v>
      </c>
      <c r="S6">
        <v>100</v>
      </c>
      <c r="T6">
        <v>100</v>
      </c>
      <c r="U6">
        <v>100</v>
      </c>
      <c r="V6">
        <v>20</v>
      </c>
      <c r="W6">
        <v>46</v>
      </c>
      <c r="X6">
        <v>48.4</v>
      </c>
    </row>
    <row r="7" spans="1:24" x14ac:dyDescent="0.25">
      <c r="A7" t="s">
        <v>24</v>
      </c>
      <c r="B7" s="1" t="s">
        <v>52</v>
      </c>
      <c r="C7">
        <v>1</v>
      </c>
      <c r="D7" s="1">
        <v>0</v>
      </c>
      <c r="E7" s="1">
        <v>0</v>
      </c>
      <c r="F7" t="s">
        <v>26</v>
      </c>
      <c r="G7">
        <v>1</v>
      </c>
      <c r="H7">
        <v>1</v>
      </c>
      <c r="I7">
        <v>0.5</v>
      </c>
      <c r="J7">
        <v>0</v>
      </c>
      <c r="K7">
        <v>0</v>
      </c>
      <c r="L7">
        <v>0</v>
      </c>
      <c r="M7" s="1">
        <v>3</v>
      </c>
      <c r="N7" s="1">
        <v>4</v>
      </c>
      <c r="O7">
        <v>3</v>
      </c>
      <c r="P7">
        <v>4</v>
      </c>
      <c r="Q7">
        <v>0</v>
      </c>
      <c r="R7">
        <v>33.299999999999997</v>
      </c>
      <c r="S7">
        <v>100</v>
      </c>
      <c r="T7">
        <v>33.299999999999997</v>
      </c>
      <c r="U7">
        <v>100</v>
      </c>
      <c r="V7">
        <v>20</v>
      </c>
      <c r="W7">
        <v>37</v>
      </c>
      <c r="X7">
        <v>42.6</v>
      </c>
    </row>
    <row r="8" spans="1:24" x14ac:dyDescent="0.25">
      <c r="A8" t="s">
        <v>24</v>
      </c>
      <c r="B8" s="1" t="s">
        <v>93</v>
      </c>
      <c r="C8">
        <v>1</v>
      </c>
      <c r="D8" s="1">
        <v>1</v>
      </c>
      <c r="E8" s="1">
        <v>0</v>
      </c>
      <c r="F8" t="s">
        <v>26</v>
      </c>
      <c r="G8">
        <v>0</v>
      </c>
      <c r="H8">
        <v>2</v>
      </c>
      <c r="I8">
        <v>1</v>
      </c>
      <c r="J8">
        <v>1</v>
      </c>
      <c r="K8">
        <v>1</v>
      </c>
      <c r="L8">
        <v>0</v>
      </c>
      <c r="M8" s="1">
        <v>3</v>
      </c>
      <c r="N8" s="1">
        <v>2</v>
      </c>
      <c r="O8">
        <v>3</v>
      </c>
      <c r="P8">
        <v>2</v>
      </c>
      <c r="Q8">
        <v>0</v>
      </c>
      <c r="R8" t="s">
        <v>26</v>
      </c>
      <c r="S8">
        <v>100</v>
      </c>
      <c r="T8" t="s">
        <v>26</v>
      </c>
      <c r="U8">
        <v>100</v>
      </c>
      <c r="V8">
        <v>32</v>
      </c>
      <c r="W8">
        <v>33</v>
      </c>
      <c r="X8">
        <v>38.9</v>
      </c>
    </row>
    <row r="9" spans="1:24" x14ac:dyDescent="0.25">
      <c r="A9" t="s">
        <v>24</v>
      </c>
      <c r="B9" s="1" t="s">
        <v>86</v>
      </c>
      <c r="C9">
        <v>1</v>
      </c>
      <c r="D9" s="1">
        <v>1</v>
      </c>
      <c r="E9" s="1">
        <v>0</v>
      </c>
      <c r="F9" t="s">
        <v>26</v>
      </c>
      <c r="G9">
        <v>0</v>
      </c>
      <c r="H9">
        <v>2</v>
      </c>
      <c r="I9">
        <v>1</v>
      </c>
      <c r="J9">
        <v>1</v>
      </c>
      <c r="K9">
        <v>1</v>
      </c>
      <c r="L9">
        <v>0</v>
      </c>
      <c r="M9" s="1">
        <v>5</v>
      </c>
      <c r="N9" s="1">
        <v>2</v>
      </c>
      <c r="O9">
        <v>5</v>
      </c>
      <c r="P9">
        <v>2</v>
      </c>
      <c r="Q9">
        <v>0</v>
      </c>
      <c r="R9" t="s">
        <v>26</v>
      </c>
      <c r="S9">
        <v>75</v>
      </c>
      <c r="T9" t="s">
        <v>26</v>
      </c>
      <c r="U9">
        <v>75</v>
      </c>
      <c r="V9">
        <v>23</v>
      </c>
      <c r="W9">
        <v>21</v>
      </c>
      <c r="X9">
        <v>44.1</v>
      </c>
    </row>
    <row r="10" spans="1:24" x14ac:dyDescent="0.25">
      <c r="A10" t="s">
        <v>24</v>
      </c>
      <c r="B10" s="1" t="s">
        <v>95</v>
      </c>
      <c r="C10">
        <v>1</v>
      </c>
      <c r="D10" s="1">
        <v>0</v>
      </c>
      <c r="E10" s="1">
        <v>1</v>
      </c>
      <c r="F10" t="s">
        <v>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2</v>
      </c>
      <c r="N10" s="1">
        <v>3</v>
      </c>
      <c r="O10">
        <v>2</v>
      </c>
      <c r="P10">
        <v>3</v>
      </c>
      <c r="Q10">
        <v>0</v>
      </c>
      <c r="R10">
        <v>50</v>
      </c>
      <c r="S10">
        <v>66.7</v>
      </c>
      <c r="T10">
        <v>50</v>
      </c>
      <c r="U10">
        <v>66.7</v>
      </c>
      <c r="V10">
        <v>24</v>
      </c>
      <c r="W10">
        <v>27</v>
      </c>
      <c r="X10">
        <v>49</v>
      </c>
    </row>
    <row r="11" spans="1:24" x14ac:dyDescent="0.25">
      <c r="A11" t="s">
        <v>24</v>
      </c>
      <c r="B11" s="1" t="s">
        <v>30</v>
      </c>
      <c r="C11">
        <v>1</v>
      </c>
      <c r="D11" s="1">
        <v>0</v>
      </c>
      <c r="E11" s="1">
        <v>1</v>
      </c>
      <c r="F11" t="s">
        <v>26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3</v>
      </c>
      <c r="N11" s="1">
        <v>9</v>
      </c>
      <c r="O11">
        <v>3</v>
      </c>
      <c r="P11">
        <v>9</v>
      </c>
      <c r="Q11">
        <v>0</v>
      </c>
      <c r="R11">
        <v>50</v>
      </c>
      <c r="S11">
        <v>50</v>
      </c>
      <c r="T11">
        <v>50</v>
      </c>
      <c r="U11">
        <v>50</v>
      </c>
      <c r="V11">
        <v>23</v>
      </c>
      <c r="W11">
        <v>31</v>
      </c>
      <c r="X11">
        <v>40.700000000000003</v>
      </c>
    </row>
    <row r="12" spans="1:24" x14ac:dyDescent="0.25">
      <c r="A12" t="s">
        <v>24</v>
      </c>
      <c r="B12" s="1" t="s">
        <v>51</v>
      </c>
      <c r="C12">
        <v>1</v>
      </c>
      <c r="D12" s="1">
        <v>0</v>
      </c>
      <c r="E12" s="1">
        <v>1</v>
      </c>
      <c r="F12" t="s">
        <v>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0</v>
      </c>
      <c r="N12" s="1">
        <v>1</v>
      </c>
      <c r="O12">
        <v>0</v>
      </c>
      <c r="P12">
        <v>1</v>
      </c>
      <c r="Q12">
        <v>0</v>
      </c>
      <c r="R12" t="s">
        <v>26</v>
      </c>
      <c r="S12">
        <v>100</v>
      </c>
      <c r="T12" t="s">
        <v>26</v>
      </c>
      <c r="U12">
        <v>100</v>
      </c>
      <c r="V12">
        <v>22</v>
      </c>
      <c r="W12">
        <v>26</v>
      </c>
      <c r="X12">
        <v>56.9</v>
      </c>
    </row>
    <row r="13" spans="1:24" x14ac:dyDescent="0.25">
      <c r="A13" t="s">
        <v>24</v>
      </c>
      <c r="B13" s="1" t="s">
        <v>73</v>
      </c>
      <c r="C13">
        <v>1</v>
      </c>
      <c r="D13" s="1">
        <v>0</v>
      </c>
      <c r="E13" s="1">
        <v>0</v>
      </c>
      <c r="F13" t="s">
        <v>26</v>
      </c>
      <c r="G13">
        <v>1</v>
      </c>
      <c r="H13">
        <v>1</v>
      </c>
      <c r="I13">
        <v>0.5</v>
      </c>
      <c r="J13">
        <v>0</v>
      </c>
      <c r="K13">
        <v>0</v>
      </c>
      <c r="L13">
        <v>0</v>
      </c>
      <c r="M13" s="1">
        <v>3</v>
      </c>
      <c r="N13" s="1">
        <v>4</v>
      </c>
      <c r="O13">
        <v>3</v>
      </c>
      <c r="P13">
        <v>4</v>
      </c>
      <c r="Q13">
        <v>0</v>
      </c>
      <c r="R13" t="s">
        <v>26</v>
      </c>
      <c r="S13">
        <v>80</v>
      </c>
      <c r="T13" t="s">
        <v>26</v>
      </c>
      <c r="U13">
        <v>80</v>
      </c>
      <c r="V13">
        <v>37</v>
      </c>
      <c r="W13">
        <v>24</v>
      </c>
      <c r="X13">
        <v>56.1</v>
      </c>
    </row>
    <row r="14" spans="1:24" x14ac:dyDescent="0.25">
      <c r="A14" t="s">
        <v>24</v>
      </c>
      <c r="B14" s="1" t="s">
        <v>33</v>
      </c>
      <c r="C14">
        <v>1</v>
      </c>
      <c r="D14" s="1">
        <v>0</v>
      </c>
      <c r="E14" s="1">
        <v>1</v>
      </c>
      <c r="F14" t="s">
        <v>26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3</v>
      </c>
      <c r="N14" s="1">
        <v>4</v>
      </c>
      <c r="O14">
        <v>3</v>
      </c>
      <c r="P14">
        <v>4</v>
      </c>
      <c r="Q14">
        <v>0</v>
      </c>
      <c r="R14">
        <v>25</v>
      </c>
      <c r="S14">
        <v>100</v>
      </c>
      <c r="T14">
        <v>25</v>
      </c>
      <c r="U14">
        <v>100</v>
      </c>
      <c r="V14">
        <v>27</v>
      </c>
      <c r="W14">
        <v>29</v>
      </c>
      <c r="X14">
        <v>37.1</v>
      </c>
    </row>
    <row r="15" spans="1:24" x14ac:dyDescent="0.25">
      <c r="A15" t="s">
        <v>24</v>
      </c>
      <c r="B15" s="1" t="s">
        <v>81</v>
      </c>
      <c r="C15">
        <v>1</v>
      </c>
      <c r="D15" s="1">
        <v>1</v>
      </c>
      <c r="E15" s="1">
        <v>0</v>
      </c>
      <c r="F15" t="s">
        <v>26</v>
      </c>
      <c r="G15">
        <v>0</v>
      </c>
      <c r="H15">
        <v>2</v>
      </c>
      <c r="I15">
        <v>1</v>
      </c>
      <c r="J15">
        <v>1</v>
      </c>
      <c r="K15">
        <v>1</v>
      </c>
      <c r="L15">
        <v>0</v>
      </c>
      <c r="M15" s="1">
        <v>5</v>
      </c>
      <c r="N15" s="1">
        <v>3</v>
      </c>
      <c r="O15">
        <v>5</v>
      </c>
      <c r="P15">
        <v>3</v>
      </c>
      <c r="Q15">
        <v>0</v>
      </c>
      <c r="R15">
        <v>50</v>
      </c>
      <c r="S15">
        <v>100</v>
      </c>
      <c r="T15">
        <v>50</v>
      </c>
      <c r="U15">
        <v>100</v>
      </c>
      <c r="V15">
        <v>18</v>
      </c>
      <c r="W15">
        <v>26</v>
      </c>
      <c r="X15">
        <v>46.3</v>
      </c>
    </row>
    <row r="17" spans="1:7" x14ac:dyDescent="0.25">
      <c r="A17" t="s">
        <v>112</v>
      </c>
      <c r="B17" s="2" t="s">
        <v>113</v>
      </c>
      <c r="C17" t="s">
        <v>114</v>
      </c>
      <c r="D17" t="s">
        <v>115</v>
      </c>
      <c r="E17" t="s">
        <v>3</v>
      </c>
      <c r="F17" t="s">
        <v>116</v>
      </c>
      <c r="G17" t="s">
        <v>117</v>
      </c>
    </row>
    <row r="18" spans="1:7" x14ac:dyDescent="0.25">
      <c r="A18" t="s">
        <v>118</v>
      </c>
      <c r="B18">
        <f>SUM(C2:C15)</f>
        <v>14</v>
      </c>
      <c r="C18">
        <f>AVERAGE(M2:M15)</f>
        <v>3.1428571428571428</v>
      </c>
      <c r="D18">
        <f>AVERAGE(N2:N15)</f>
        <v>2.9285714285714284</v>
      </c>
      <c r="E18">
        <f>COUNTIF(D2:D15, "1")</f>
        <v>6</v>
      </c>
      <c r="F18">
        <f>(SUM(M2:M15)-(SUM(N2:N15)))</f>
        <v>3</v>
      </c>
      <c r="G18" s="6">
        <f>E18/B18</f>
        <v>0.42857142857142855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AFCB-BEAB-4710-AF91-CC606B8BD58D}">
  <dimension ref="A1:X18"/>
  <sheetViews>
    <sheetView workbookViewId="0">
      <selection activeCell="I21" sqref="I21"/>
    </sheetView>
  </sheetViews>
  <sheetFormatPr defaultRowHeight="15.75" x14ac:dyDescent="0.25"/>
  <cols>
    <col min="6" max="6" width="14.5" bestFit="1" customWidth="1"/>
  </cols>
  <sheetData>
    <row r="1" spans="1:24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 t="s">
        <v>85</v>
      </c>
      <c r="C2">
        <v>1</v>
      </c>
      <c r="D2" s="1">
        <v>0</v>
      </c>
      <c r="E2" s="1">
        <v>0</v>
      </c>
      <c r="F2" t="s">
        <v>26</v>
      </c>
      <c r="G2">
        <v>1</v>
      </c>
      <c r="H2">
        <v>1</v>
      </c>
      <c r="I2">
        <v>0.5</v>
      </c>
      <c r="J2">
        <v>0</v>
      </c>
      <c r="K2">
        <v>0</v>
      </c>
      <c r="L2">
        <v>0</v>
      </c>
      <c r="M2" s="1">
        <v>3</v>
      </c>
      <c r="N2" s="1">
        <v>3</v>
      </c>
      <c r="O2">
        <v>3</v>
      </c>
      <c r="P2">
        <v>3</v>
      </c>
      <c r="Q2">
        <v>0</v>
      </c>
      <c r="R2" t="s">
        <v>26</v>
      </c>
      <c r="S2">
        <v>100</v>
      </c>
      <c r="T2" t="s">
        <v>26</v>
      </c>
      <c r="U2">
        <v>100</v>
      </c>
      <c r="V2">
        <v>30</v>
      </c>
      <c r="W2">
        <v>28</v>
      </c>
      <c r="X2">
        <v>59.6</v>
      </c>
    </row>
    <row r="3" spans="1:24" x14ac:dyDescent="0.25">
      <c r="A3" t="s">
        <v>24</v>
      </c>
      <c r="B3" s="1" t="s">
        <v>55</v>
      </c>
      <c r="C3">
        <v>1</v>
      </c>
      <c r="D3" s="1">
        <v>1</v>
      </c>
      <c r="E3" s="1">
        <v>0</v>
      </c>
      <c r="F3" t="s">
        <v>26</v>
      </c>
      <c r="G3">
        <v>0</v>
      </c>
      <c r="H3">
        <v>2</v>
      </c>
      <c r="I3">
        <v>1</v>
      </c>
      <c r="J3">
        <v>1</v>
      </c>
      <c r="K3">
        <v>1</v>
      </c>
      <c r="L3">
        <v>0</v>
      </c>
      <c r="M3" s="1">
        <v>2</v>
      </c>
      <c r="N3" s="1">
        <v>1</v>
      </c>
      <c r="O3">
        <v>2</v>
      </c>
      <c r="P3">
        <v>1</v>
      </c>
      <c r="Q3">
        <v>0</v>
      </c>
      <c r="R3">
        <v>33.299999999999997</v>
      </c>
      <c r="S3">
        <v>100</v>
      </c>
      <c r="T3">
        <v>33.299999999999997</v>
      </c>
      <c r="U3">
        <v>100</v>
      </c>
      <c r="V3">
        <v>36</v>
      </c>
      <c r="W3">
        <v>27</v>
      </c>
      <c r="X3">
        <v>44.1</v>
      </c>
    </row>
    <row r="4" spans="1:24" x14ac:dyDescent="0.25">
      <c r="A4" t="s">
        <v>24</v>
      </c>
      <c r="B4" s="1" t="s">
        <v>71</v>
      </c>
      <c r="C4">
        <v>1</v>
      </c>
      <c r="D4" s="1">
        <v>0</v>
      </c>
      <c r="E4" s="1">
        <v>1</v>
      </c>
      <c r="F4" t="s">
        <v>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0</v>
      </c>
      <c r="N4" s="1">
        <v>6</v>
      </c>
      <c r="O4">
        <v>0</v>
      </c>
      <c r="P4">
        <v>6</v>
      </c>
      <c r="Q4">
        <v>0</v>
      </c>
      <c r="R4" t="s">
        <v>26</v>
      </c>
      <c r="S4">
        <v>50</v>
      </c>
      <c r="T4" t="s">
        <v>26</v>
      </c>
      <c r="U4">
        <v>50</v>
      </c>
      <c r="V4">
        <v>23</v>
      </c>
      <c r="W4">
        <v>32</v>
      </c>
      <c r="X4">
        <v>40.4</v>
      </c>
    </row>
    <row r="5" spans="1:24" x14ac:dyDescent="0.25">
      <c r="A5" t="s">
        <v>24</v>
      </c>
      <c r="B5" s="1" t="s">
        <v>53</v>
      </c>
      <c r="C5">
        <v>1</v>
      </c>
      <c r="D5" s="1">
        <v>0</v>
      </c>
      <c r="E5" s="1">
        <v>1</v>
      </c>
      <c r="F5" t="s">
        <v>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1</v>
      </c>
      <c r="N5" s="1">
        <v>7</v>
      </c>
      <c r="O5">
        <v>1</v>
      </c>
      <c r="P5">
        <v>7</v>
      </c>
      <c r="Q5">
        <v>0</v>
      </c>
      <c r="R5">
        <v>50</v>
      </c>
      <c r="S5">
        <v>60</v>
      </c>
      <c r="T5">
        <v>50</v>
      </c>
      <c r="U5">
        <v>60</v>
      </c>
      <c r="V5">
        <v>20</v>
      </c>
      <c r="W5">
        <v>53</v>
      </c>
      <c r="X5">
        <v>48.3</v>
      </c>
    </row>
    <row r="6" spans="1:24" x14ac:dyDescent="0.25">
      <c r="A6" t="s">
        <v>24</v>
      </c>
      <c r="B6" s="1" t="s">
        <v>61</v>
      </c>
      <c r="C6">
        <v>1</v>
      </c>
      <c r="D6" s="1">
        <v>1</v>
      </c>
      <c r="E6" s="1">
        <v>0</v>
      </c>
      <c r="F6" t="s">
        <v>26</v>
      </c>
      <c r="G6">
        <v>0</v>
      </c>
      <c r="H6">
        <v>2</v>
      </c>
      <c r="I6">
        <v>1</v>
      </c>
      <c r="J6">
        <v>1</v>
      </c>
      <c r="K6">
        <v>1</v>
      </c>
      <c r="L6">
        <v>0</v>
      </c>
      <c r="M6" s="1">
        <v>3</v>
      </c>
      <c r="N6" s="1">
        <v>0</v>
      </c>
      <c r="O6">
        <v>3</v>
      </c>
      <c r="P6">
        <v>0</v>
      </c>
      <c r="Q6">
        <v>1</v>
      </c>
      <c r="R6" t="s">
        <v>26</v>
      </c>
      <c r="S6">
        <v>100</v>
      </c>
      <c r="T6" t="s">
        <v>26</v>
      </c>
      <c r="U6">
        <v>133.30000000000001</v>
      </c>
      <c r="V6">
        <v>25</v>
      </c>
      <c r="W6">
        <v>21</v>
      </c>
      <c r="X6">
        <v>31.9</v>
      </c>
    </row>
    <row r="7" spans="1:24" x14ac:dyDescent="0.25">
      <c r="A7" t="s">
        <v>24</v>
      </c>
      <c r="B7" s="1" t="s">
        <v>74</v>
      </c>
      <c r="C7">
        <v>1</v>
      </c>
      <c r="D7" s="1">
        <v>0</v>
      </c>
      <c r="E7" s="1">
        <v>1</v>
      </c>
      <c r="F7" t="s">
        <v>26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>
        <v>2</v>
      </c>
      <c r="N7" s="1">
        <v>3</v>
      </c>
      <c r="O7">
        <v>2</v>
      </c>
      <c r="P7">
        <v>3</v>
      </c>
      <c r="Q7">
        <v>0</v>
      </c>
      <c r="R7" t="s">
        <v>26</v>
      </c>
      <c r="S7">
        <v>100</v>
      </c>
      <c r="T7" t="s">
        <v>26</v>
      </c>
      <c r="U7">
        <v>100</v>
      </c>
      <c r="V7">
        <v>29</v>
      </c>
      <c r="W7">
        <v>26</v>
      </c>
      <c r="X7">
        <v>44.2</v>
      </c>
    </row>
    <row r="8" spans="1:24" x14ac:dyDescent="0.25">
      <c r="A8" t="s">
        <v>24</v>
      </c>
      <c r="B8" s="1" t="s">
        <v>29</v>
      </c>
      <c r="C8">
        <v>1</v>
      </c>
      <c r="D8" s="1">
        <v>0</v>
      </c>
      <c r="E8" s="1">
        <v>1</v>
      </c>
      <c r="F8" t="s">
        <v>26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>
        <v>0</v>
      </c>
      <c r="N8" s="1">
        <v>4</v>
      </c>
      <c r="O8">
        <v>0</v>
      </c>
      <c r="P8">
        <v>4</v>
      </c>
      <c r="Q8">
        <v>0</v>
      </c>
      <c r="R8" t="s">
        <v>26</v>
      </c>
      <c r="S8">
        <v>100</v>
      </c>
      <c r="T8" t="s">
        <v>26</v>
      </c>
      <c r="U8">
        <v>100</v>
      </c>
      <c r="V8">
        <v>26</v>
      </c>
      <c r="W8">
        <v>24</v>
      </c>
      <c r="X8">
        <v>54.5</v>
      </c>
    </row>
    <row r="9" spans="1:24" x14ac:dyDescent="0.25">
      <c r="A9" t="s">
        <v>24</v>
      </c>
      <c r="B9" s="1" t="s">
        <v>62</v>
      </c>
      <c r="C9">
        <v>1</v>
      </c>
      <c r="D9" s="1">
        <v>0</v>
      </c>
      <c r="E9" s="1">
        <v>1</v>
      </c>
      <c r="F9" t="s">
        <v>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2</v>
      </c>
      <c r="N9" s="1">
        <v>3</v>
      </c>
      <c r="O9">
        <v>2</v>
      </c>
      <c r="P9">
        <v>3</v>
      </c>
      <c r="Q9">
        <v>0</v>
      </c>
      <c r="R9" t="s">
        <v>26</v>
      </c>
      <c r="S9">
        <v>66.7</v>
      </c>
      <c r="T9" t="s">
        <v>26</v>
      </c>
      <c r="U9">
        <v>100</v>
      </c>
      <c r="V9">
        <v>25</v>
      </c>
      <c r="W9">
        <v>27</v>
      </c>
      <c r="X9">
        <v>42.9</v>
      </c>
    </row>
    <row r="10" spans="1:24" x14ac:dyDescent="0.25">
      <c r="A10" t="s">
        <v>24</v>
      </c>
      <c r="B10" s="1" t="s">
        <v>37</v>
      </c>
      <c r="C10">
        <v>1</v>
      </c>
      <c r="D10" s="1">
        <v>0</v>
      </c>
      <c r="E10" s="1">
        <v>1</v>
      </c>
      <c r="F10" t="s">
        <v>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1</v>
      </c>
      <c r="N10" s="1">
        <v>4</v>
      </c>
      <c r="O10">
        <v>1</v>
      </c>
      <c r="P10">
        <v>4</v>
      </c>
      <c r="Q10">
        <v>0</v>
      </c>
      <c r="R10" t="s">
        <v>26</v>
      </c>
      <c r="S10">
        <v>100</v>
      </c>
      <c r="T10" t="s">
        <v>26</v>
      </c>
      <c r="U10">
        <v>100</v>
      </c>
      <c r="V10">
        <v>15</v>
      </c>
      <c r="W10">
        <v>35</v>
      </c>
      <c r="X10">
        <v>34</v>
      </c>
    </row>
    <row r="11" spans="1:24" x14ac:dyDescent="0.25">
      <c r="A11" t="s">
        <v>24</v>
      </c>
      <c r="B11" s="1" t="s">
        <v>57</v>
      </c>
      <c r="C11">
        <v>1</v>
      </c>
      <c r="D11" s="1">
        <v>0</v>
      </c>
      <c r="E11" s="1">
        <v>1</v>
      </c>
      <c r="F11" t="s">
        <v>26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4</v>
      </c>
      <c r="N11" s="1">
        <v>6</v>
      </c>
      <c r="O11">
        <v>4</v>
      </c>
      <c r="P11">
        <v>6</v>
      </c>
      <c r="Q11">
        <v>0</v>
      </c>
      <c r="R11">
        <v>33.299999999999997</v>
      </c>
      <c r="S11">
        <v>83.3</v>
      </c>
      <c r="T11" t="s">
        <v>26</v>
      </c>
      <c r="U11">
        <v>83.3</v>
      </c>
      <c r="V11">
        <v>24</v>
      </c>
      <c r="W11">
        <v>40</v>
      </c>
      <c r="X11">
        <v>40.299999999999997</v>
      </c>
    </row>
    <row r="12" spans="1:24" x14ac:dyDescent="0.25">
      <c r="A12" t="s">
        <v>24</v>
      </c>
      <c r="B12" s="1" t="s">
        <v>83</v>
      </c>
      <c r="C12">
        <v>1</v>
      </c>
      <c r="D12" s="1">
        <v>0</v>
      </c>
      <c r="E12" s="1">
        <v>1</v>
      </c>
      <c r="F12" t="s">
        <v>26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1">
        <v>1</v>
      </c>
      <c r="N12" s="1">
        <v>3</v>
      </c>
      <c r="O12">
        <v>1</v>
      </c>
      <c r="P12">
        <v>3</v>
      </c>
      <c r="Q12">
        <v>0</v>
      </c>
      <c r="R12" t="s">
        <v>26</v>
      </c>
      <c r="S12">
        <v>75</v>
      </c>
      <c r="T12" t="s">
        <v>26</v>
      </c>
      <c r="U12">
        <v>75</v>
      </c>
      <c r="V12">
        <v>21</v>
      </c>
      <c r="W12">
        <v>26</v>
      </c>
      <c r="X12">
        <v>62.7</v>
      </c>
    </row>
    <row r="13" spans="1:24" x14ac:dyDescent="0.25">
      <c r="A13" t="s">
        <v>24</v>
      </c>
      <c r="B13" s="1" t="s">
        <v>63</v>
      </c>
      <c r="C13">
        <v>1</v>
      </c>
      <c r="D13" s="1">
        <v>1</v>
      </c>
      <c r="E13" s="1">
        <v>0</v>
      </c>
      <c r="F13" t="s">
        <v>26</v>
      </c>
      <c r="G13">
        <v>0</v>
      </c>
      <c r="H13">
        <v>2</v>
      </c>
      <c r="I13">
        <v>1</v>
      </c>
      <c r="J13">
        <v>0</v>
      </c>
      <c r="K13">
        <v>0</v>
      </c>
      <c r="L13">
        <v>1</v>
      </c>
      <c r="M13" s="1">
        <v>3</v>
      </c>
      <c r="N13" s="1">
        <v>3</v>
      </c>
      <c r="O13">
        <v>3</v>
      </c>
      <c r="P13">
        <v>3</v>
      </c>
      <c r="Q13">
        <v>0</v>
      </c>
      <c r="R13" t="s">
        <v>26</v>
      </c>
      <c r="S13">
        <v>100</v>
      </c>
      <c r="T13" t="s">
        <v>26</v>
      </c>
      <c r="U13">
        <v>100</v>
      </c>
      <c r="V13">
        <v>33</v>
      </c>
      <c r="W13">
        <v>31</v>
      </c>
      <c r="X13">
        <v>43.1</v>
      </c>
    </row>
    <row r="14" spans="1:24" x14ac:dyDescent="0.25">
      <c r="A14" t="s">
        <v>24</v>
      </c>
      <c r="B14" s="1" t="s">
        <v>79</v>
      </c>
      <c r="C14">
        <v>1</v>
      </c>
      <c r="D14" s="1">
        <v>0</v>
      </c>
      <c r="E14" s="1">
        <v>1</v>
      </c>
      <c r="F14" t="s">
        <v>26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3</v>
      </c>
      <c r="N14" s="1">
        <v>7</v>
      </c>
      <c r="O14">
        <v>3</v>
      </c>
      <c r="P14">
        <v>7</v>
      </c>
      <c r="Q14">
        <v>0</v>
      </c>
      <c r="R14" t="s">
        <v>26</v>
      </c>
      <c r="S14">
        <v>50</v>
      </c>
      <c r="T14" t="s">
        <v>26</v>
      </c>
      <c r="U14">
        <v>50</v>
      </c>
      <c r="V14">
        <v>24</v>
      </c>
      <c r="W14">
        <v>24</v>
      </c>
      <c r="X14">
        <v>46.6</v>
      </c>
    </row>
    <row r="15" spans="1:24" x14ac:dyDescent="0.25">
      <c r="A15" t="s">
        <v>24</v>
      </c>
      <c r="B15" s="1" t="s">
        <v>45</v>
      </c>
      <c r="C15">
        <v>1</v>
      </c>
      <c r="D15" s="1">
        <v>0</v>
      </c>
      <c r="E15" s="1">
        <v>0</v>
      </c>
      <c r="F15" t="s">
        <v>26</v>
      </c>
      <c r="G15">
        <v>1</v>
      </c>
      <c r="H15">
        <v>1</v>
      </c>
      <c r="I15">
        <v>0.5</v>
      </c>
      <c r="J15">
        <v>0</v>
      </c>
      <c r="K15">
        <v>0</v>
      </c>
      <c r="L15">
        <v>0</v>
      </c>
      <c r="M15" s="1">
        <v>2</v>
      </c>
      <c r="N15" s="1">
        <v>2</v>
      </c>
      <c r="O15">
        <v>2</v>
      </c>
      <c r="P15">
        <v>2</v>
      </c>
      <c r="Q15">
        <v>0</v>
      </c>
      <c r="R15">
        <v>50</v>
      </c>
      <c r="S15">
        <v>66.7</v>
      </c>
      <c r="T15">
        <v>50</v>
      </c>
      <c r="U15">
        <v>66.7</v>
      </c>
      <c r="V15">
        <v>19</v>
      </c>
      <c r="W15">
        <v>21</v>
      </c>
      <c r="X15">
        <v>46</v>
      </c>
    </row>
    <row r="17" spans="1:7" x14ac:dyDescent="0.25">
      <c r="A17" t="s">
        <v>112</v>
      </c>
      <c r="B17" s="2" t="s">
        <v>113</v>
      </c>
      <c r="C17" t="s">
        <v>114</v>
      </c>
      <c r="D17" t="s">
        <v>115</v>
      </c>
      <c r="E17" t="s">
        <v>3</v>
      </c>
      <c r="F17" t="s">
        <v>116</v>
      </c>
      <c r="G17" t="s">
        <v>117</v>
      </c>
    </row>
    <row r="18" spans="1:7" x14ac:dyDescent="0.25">
      <c r="A18" t="s">
        <v>119</v>
      </c>
      <c r="B18">
        <f>SUM(C2:C15)</f>
        <v>14</v>
      </c>
      <c r="C18">
        <f>AVERAGE(M2:M15)</f>
        <v>1.9285714285714286</v>
      </c>
      <c r="D18">
        <f>AVERAGE(N2:N15)</f>
        <v>3.7142857142857144</v>
      </c>
      <c r="E18">
        <f>COUNTIF(D2:D15, "1")</f>
        <v>3</v>
      </c>
      <c r="F18">
        <f>(SUM(M2:M15)-(SUM(N2:N15)))</f>
        <v>-25</v>
      </c>
      <c r="G18" s="6">
        <f>E18/B18</f>
        <v>0.21428571428571427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4F65-93A4-45BA-9356-89DC0BC59630}">
  <dimension ref="A1:X20"/>
  <sheetViews>
    <sheetView workbookViewId="0">
      <selection activeCell="I22" sqref="I22"/>
    </sheetView>
  </sheetViews>
  <sheetFormatPr defaultRowHeight="15.75" x14ac:dyDescent="0.25"/>
  <cols>
    <col min="6" max="6" width="14.5" bestFit="1" customWidth="1"/>
  </cols>
  <sheetData>
    <row r="1" spans="1:24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 t="s">
        <v>87</v>
      </c>
      <c r="C2">
        <v>1</v>
      </c>
      <c r="D2" s="1">
        <v>1</v>
      </c>
      <c r="E2" s="1">
        <v>0</v>
      </c>
      <c r="F2" t="s">
        <v>26</v>
      </c>
      <c r="G2">
        <v>0</v>
      </c>
      <c r="H2">
        <v>2</v>
      </c>
      <c r="I2">
        <v>1</v>
      </c>
      <c r="J2">
        <v>1</v>
      </c>
      <c r="K2">
        <v>1</v>
      </c>
      <c r="L2">
        <v>0</v>
      </c>
      <c r="M2" s="1">
        <v>4</v>
      </c>
      <c r="N2" s="1">
        <v>3</v>
      </c>
      <c r="O2">
        <v>4</v>
      </c>
      <c r="P2">
        <v>3</v>
      </c>
      <c r="Q2">
        <v>0</v>
      </c>
      <c r="R2">
        <v>50</v>
      </c>
      <c r="S2">
        <v>100</v>
      </c>
      <c r="T2">
        <v>50</v>
      </c>
      <c r="U2">
        <v>100</v>
      </c>
      <c r="V2">
        <v>21</v>
      </c>
      <c r="W2">
        <v>25</v>
      </c>
      <c r="X2">
        <v>46.5</v>
      </c>
    </row>
    <row r="3" spans="1:24" x14ac:dyDescent="0.25">
      <c r="A3" t="s">
        <v>24</v>
      </c>
      <c r="B3" s="1" t="s">
        <v>105</v>
      </c>
      <c r="C3">
        <v>1</v>
      </c>
      <c r="D3" s="1">
        <v>1</v>
      </c>
      <c r="E3" s="1">
        <v>0</v>
      </c>
      <c r="F3" t="s">
        <v>26</v>
      </c>
      <c r="G3">
        <v>0</v>
      </c>
      <c r="H3">
        <v>2</v>
      </c>
      <c r="I3">
        <v>1</v>
      </c>
      <c r="J3">
        <v>0</v>
      </c>
      <c r="K3">
        <v>0</v>
      </c>
      <c r="L3">
        <v>1</v>
      </c>
      <c r="M3" s="1">
        <v>2</v>
      </c>
      <c r="N3" s="1">
        <v>2</v>
      </c>
      <c r="O3">
        <v>2</v>
      </c>
      <c r="P3">
        <v>2</v>
      </c>
      <c r="Q3">
        <v>0</v>
      </c>
      <c r="R3">
        <v>50</v>
      </c>
      <c r="S3">
        <v>100</v>
      </c>
      <c r="T3">
        <v>50</v>
      </c>
      <c r="U3">
        <v>100</v>
      </c>
      <c r="V3">
        <v>33</v>
      </c>
      <c r="W3">
        <v>34</v>
      </c>
      <c r="X3">
        <v>49</v>
      </c>
    </row>
    <row r="4" spans="1:24" x14ac:dyDescent="0.25">
      <c r="A4" t="s">
        <v>24</v>
      </c>
      <c r="B4" s="1" t="s">
        <v>58</v>
      </c>
      <c r="C4">
        <v>1</v>
      </c>
      <c r="D4" s="1">
        <v>1</v>
      </c>
      <c r="E4" s="1">
        <v>0</v>
      </c>
      <c r="F4" t="s">
        <v>26</v>
      </c>
      <c r="G4">
        <v>0</v>
      </c>
      <c r="H4">
        <v>2</v>
      </c>
      <c r="I4">
        <v>1</v>
      </c>
      <c r="J4">
        <v>0</v>
      </c>
      <c r="K4">
        <v>1</v>
      </c>
      <c r="L4">
        <v>0</v>
      </c>
      <c r="M4" s="1">
        <v>3</v>
      </c>
      <c r="N4" s="1">
        <v>2</v>
      </c>
      <c r="O4">
        <v>3</v>
      </c>
      <c r="P4">
        <v>2</v>
      </c>
      <c r="Q4">
        <v>0</v>
      </c>
      <c r="R4" t="s">
        <v>26</v>
      </c>
      <c r="S4">
        <v>100</v>
      </c>
      <c r="T4" t="s">
        <v>26</v>
      </c>
      <c r="U4">
        <v>100</v>
      </c>
      <c r="V4">
        <v>20</v>
      </c>
      <c r="W4">
        <v>15</v>
      </c>
      <c r="X4">
        <v>46.3</v>
      </c>
    </row>
    <row r="5" spans="1:24" x14ac:dyDescent="0.25">
      <c r="A5" t="s">
        <v>24</v>
      </c>
      <c r="B5" s="1" t="s">
        <v>104</v>
      </c>
      <c r="C5">
        <v>1</v>
      </c>
      <c r="D5" s="1">
        <v>1</v>
      </c>
      <c r="E5" s="1">
        <v>0</v>
      </c>
      <c r="F5" t="s">
        <v>26</v>
      </c>
      <c r="G5">
        <v>0</v>
      </c>
      <c r="H5">
        <v>2</v>
      </c>
      <c r="I5">
        <v>1</v>
      </c>
      <c r="J5">
        <v>1</v>
      </c>
      <c r="K5">
        <v>1</v>
      </c>
      <c r="L5">
        <v>0</v>
      </c>
      <c r="M5" s="1">
        <v>7</v>
      </c>
      <c r="N5" s="1">
        <v>3</v>
      </c>
      <c r="O5">
        <v>7</v>
      </c>
      <c r="P5">
        <v>3</v>
      </c>
      <c r="Q5">
        <v>0</v>
      </c>
      <c r="R5">
        <v>75</v>
      </c>
      <c r="S5">
        <v>100</v>
      </c>
      <c r="T5">
        <v>75</v>
      </c>
      <c r="U5">
        <v>100</v>
      </c>
      <c r="V5">
        <v>35</v>
      </c>
      <c r="W5">
        <v>30</v>
      </c>
      <c r="X5">
        <v>60.9</v>
      </c>
    </row>
    <row r="6" spans="1:24" x14ac:dyDescent="0.25">
      <c r="A6" t="s">
        <v>24</v>
      </c>
      <c r="B6" s="1" t="s">
        <v>91</v>
      </c>
      <c r="C6">
        <v>1</v>
      </c>
      <c r="D6" s="1">
        <v>0</v>
      </c>
      <c r="E6" s="1">
        <v>1</v>
      </c>
      <c r="F6" t="s">
        <v>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>
        <v>1</v>
      </c>
      <c r="N6" s="1">
        <v>5</v>
      </c>
      <c r="O6">
        <v>1</v>
      </c>
      <c r="P6">
        <v>5</v>
      </c>
      <c r="Q6">
        <v>0</v>
      </c>
      <c r="R6">
        <v>25</v>
      </c>
      <c r="S6">
        <v>100</v>
      </c>
      <c r="T6">
        <v>25</v>
      </c>
      <c r="U6">
        <v>100</v>
      </c>
      <c r="V6">
        <v>24</v>
      </c>
      <c r="W6">
        <v>24</v>
      </c>
      <c r="X6">
        <v>53.8</v>
      </c>
    </row>
    <row r="7" spans="1:24" x14ac:dyDescent="0.25">
      <c r="A7" t="s">
        <v>24</v>
      </c>
      <c r="B7" s="1" t="s">
        <v>32</v>
      </c>
      <c r="C7">
        <v>1</v>
      </c>
      <c r="D7" s="1">
        <v>1</v>
      </c>
      <c r="E7" s="1">
        <v>0</v>
      </c>
      <c r="F7" t="s">
        <v>26</v>
      </c>
      <c r="G7">
        <v>0</v>
      </c>
      <c r="H7">
        <v>2</v>
      </c>
      <c r="I7">
        <v>1</v>
      </c>
      <c r="J7">
        <v>1</v>
      </c>
      <c r="K7">
        <v>1</v>
      </c>
      <c r="L7">
        <v>0</v>
      </c>
      <c r="M7" s="1">
        <v>3</v>
      </c>
      <c r="N7" s="1">
        <v>0</v>
      </c>
      <c r="O7">
        <v>3</v>
      </c>
      <c r="P7">
        <v>0</v>
      </c>
      <c r="Q7">
        <v>1</v>
      </c>
      <c r="R7">
        <v>33.299999999999997</v>
      </c>
      <c r="S7">
        <v>100</v>
      </c>
      <c r="T7">
        <v>33.299999999999997</v>
      </c>
      <c r="U7">
        <v>100</v>
      </c>
      <c r="V7">
        <v>21</v>
      </c>
      <c r="W7">
        <v>36</v>
      </c>
      <c r="X7">
        <v>45.3</v>
      </c>
    </row>
    <row r="8" spans="1:24" x14ac:dyDescent="0.25">
      <c r="A8" t="s">
        <v>24</v>
      </c>
      <c r="B8" s="1" t="s">
        <v>80</v>
      </c>
      <c r="C8">
        <v>1</v>
      </c>
      <c r="D8" s="1">
        <v>0</v>
      </c>
      <c r="E8" s="1">
        <v>1</v>
      </c>
      <c r="F8" t="s">
        <v>26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>
        <v>1</v>
      </c>
      <c r="N8" s="1">
        <v>4</v>
      </c>
      <c r="O8">
        <v>1</v>
      </c>
      <c r="P8">
        <v>4</v>
      </c>
      <c r="Q8">
        <v>0</v>
      </c>
      <c r="R8" t="s">
        <v>26</v>
      </c>
      <c r="S8">
        <v>100</v>
      </c>
      <c r="T8" t="s">
        <v>26</v>
      </c>
      <c r="U8">
        <v>100</v>
      </c>
      <c r="V8">
        <v>30</v>
      </c>
      <c r="W8">
        <v>37</v>
      </c>
      <c r="X8">
        <v>51.9</v>
      </c>
    </row>
    <row r="9" spans="1:24" x14ac:dyDescent="0.25">
      <c r="A9" t="s">
        <v>24</v>
      </c>
      <c r="B9" s="1" t="s">
        <v>56</v>
      </c>
      <c r="C9">
        <v>1</v>
      </c>
      <c r="D9" s="1">
        <v>0</v>
      </c>
      <c r="E9" s="1">
        <v>1</v>
      </c>
      <c r="F9" t="s">
        <v>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1</v>
      </c>
      <c r="N9" s="1">
        <v>3</v>
      </c>
      <c r="O9">
        <v>1</v>
      </c>
      <c r="P9">
        <v>3</v>
      </c>
      <c r="Q9">
        <v>0</v>
      </c>
      <c r="R9" t="s">
        <v>26</v>
      </c>
      <c r="S9">
        <v>75</v>
      </c>
      <c r="T9">
        <v>-25</v>
      </c>
      <c r="U9">
        <v>75</v>
      </c>
      <c r="V9">
        <v>23</v>
      </c>
      <c r="W9">
        <v>23</v>
      </c>
      <c r="X9">
        <v>54.4</v>
      </c>
    </row>
    <row r="10" spans="1:24" x14ac:dyDescent="0.25">
      <c r="A10" t="s">
        <v>24</v>
      </c>
      <c r="B10" s="1" t="s">
        <v>35</v>
      </c>
      <c r="C10">
        <v>1</v>
      </c>
      <c r="D10" s="1">
        <v>0</v>
      </c>
      <c r="E10" s="1">
        <v>1</v>
      </c>
      <c r="F10" t="s">
        <v>26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2</v>
      </c>
      <c r="N10" s="1">
        <v>5</v>
      </c>
      <c r="O10">
        <v>2</v>
      </c>
      <c r="P10">
        <v>5</v>
      </c>
      <c r="Q10">
        <v>0</v>
      </c>
      <c r="R10" t="s">
        <v>26</v>
      </c>
      <c r="S10" t="s">
        <v>26</v>
      </c>
      <c r="T10" t="s">
        <v>26</v>
      </c>
      <c r="U10" t="s">
        <v>26</v>
      </c>
      <c r="V10">
        <v>24</v>
      </c>
      <c r="W10">
        <v>23</v>
      </c>
      <c r="X10">
        <v>47.9</v>
      </c>
    </row>
    <row r="11" spans="1:24" x14ac:dyDescent="0.25">
      <c r="A11" t="s">
        <v>24</v>
      </c>
      <c r="B11" s="1" t="s">
        <v>67</v>
      </c>
      <c r="C11">
        <v>1</v>
      </c>
      <c r="D11" s="1">
        <v>1</v>
      </c>
      <c r="E11" s="1">
        <v>0</v>
      </c>
      <c r="F11" t="s">
        <v>26</v>
      </c>
      <c r="G11">
        <v>0</v>
      </c>
      <c r="H11">
        <v>2</v>
      </c>
      <c r="I11">
        <v>1</v>
      </c>
      <c r="J11">
        <v>1</v>
      </c>
      <c r="K11">
        <v>1</v>
      </c>
      <c r="L11">
        <v>0</v>
      </c>
      <c r="M11" s="1">
        <v>2</v>
      </c>
      <c r="N11" s="1">
        <v>0</v>
      </c>
      <c r="O11">
        <v>2</v>
      </c>
      <c r="P11">
        <v>0</v>
      </c>
      <c r="Q11">
        <v>1</v>
      </c>
      <c r="R11" t="s">
        <v>26</v>
      </c>
      <c r="S11">
        <v>100</v>
      </c>
      <c r="T11" t="s">
        <v>26</v>
      </c>
      <c r="U11">
        <v>100</v>
      </c>
      <c r="V11">
        <v>24</v>
      </c>
      <c r="W11">
        <v>32</v>
      </c>
      <c r="X11">
        <v>55.8</v>
      </c>
    </row>
    <row r="12" spans="1:24" x14ac:dyDescent="0.25">
      <c r="A12" t="s">
        <v>24</v>
      </c>
      <c r="B12" s="1" t="s">
        <v>72</v>
      </c>
      <c r="C12">
        <v>1</v>
      </c>
      <c r="D12" s="1">
        <v>1</v>
      </c>
      <c r="E12" s="1">
        <v>0</v>
      </c>
      <c r="F12" t="s">
        <v>26</v>
      </c>
      <c r="G12">
        <v>0</v>
      </c>
      <c r="H12">
        <v>2</v>
      </c>
      <c r="I12">
        <v>1</v>
      </c>
      <c r="J12">
        <v>0</v>
      </c>
      <c r="K12">
        <v>0</v>
      </c>
      <c r="L12">
        <v>1</v>
      </c>
      <c r="M12" s="1">
        <v>3</v>
      </c>
      <c r="N12" s="1">
        <v>3</v>
      </c>
      <c r="O12">
        <v>3</v>
      </c>
      <c r="P12">
        <v>3</v>
      </c>
      <c r="Q12">
        <v>0</v>
      </c>
      <c r="R12" t="s">
        <v>26</v>
      </c>
      <c r="S12">
        <v>100</v>
      </c>
      <c r="T12" t="s">
        <v>26</v>
      </c>
      <c r="U12">
        <v>120</v>
      </c>
      <c r="V12">
        <v>22</v>
      </c>
      <c r="W12">
        <v>31</v>
      </c>
      <c r="X12">
        <v>35</v>
      </c>
    </row>
    <row r="13" spans="1:24" x14ac:dyDescent="0.25">
      <c r="A13" t="s">
        <v>24</v>
      </c>
      <c r="B13" s="1" t="s">
        <v>84</v>
      </c>
      <c r="C13">
        <v>1</v>
      </c>
      <c r="D13" s="1">
        <v>0</v>
      </c>
      <c r="E13" s="1">
        <v>0</v>
      </c>
      <c r="F13" t="s">
        <v>26</v>
      </c>
      <c r="G13">
        <v>1</v>
      </c>
      <c r="H13">
        <v>1</v>
      </c>
      <c r="I13">
        <v>0.5</v>
      </c>
      <c r="J13">
        <v>0</v>
      </c>
      <c r="K13">
        <v>0</v>
      </c>
      <c r="L13">
        <v>0</v>
      </c>
      <c r="M13" s="1">
        <v>1</v>
      </c>
      <c r="N13" s="1">
        <v>1</v>
      </c>
      <c r="O13">
        <v>1</v>
      </c>
      <c r="P13">
        <v>1</v>
      </c>
      <c r="Q13">
        <v>0</v>
      </c>
      <c r="R13" t="s">
        <v>26</v>
      </c>
      <c r="S13">
        <v>100</v>
      </c>
      <c r="T13" t="s">
        <v>26</v>
      </c>
      <c r="U13">
        <v>100</v>
      </c>
      <c r="V13">
        <v>19</v>
      </c>
      <c r="W13">
        <v>31</v>
      </c>
      <c r="X13">
        <v>47.4</v>
      </c>
    </row>
    <row r="14" spans="1:24" x14ac:dyDescent="0.25">
      <c r="A14" t="s">
        <v>24</v>
      </c>
      <c r="B14" s="1" t="s">
        <v>25</v>
      </c>
      <c r="C14">
        <v>1</v>
      </c>
      <c r="D14" s="1">
        <v>0</v>
      </c>
      <c r="E14" s="1">
        <v>1</v>
      </c>
      <c r="F14" t="s">
        <v>26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1</v>
      </c>
      <c r="N14" s="1">
        <v>5</v>
      </c>
      <c r="O14">
        <v>1</v>
      </c>
      <c r="P14">
        <v>5</v>
      </c>
      <c r="Q14">
        <v>0</v>
      </c>
      <c r="R14" t="s">
        <v>26</v>
      </c>
      <c r="S14">
        <v>100</v>
      </c>
      <c r="T14" t="s">
        <v>26</v>
      </c>
      <c r="U14">
        <v>100</v>
      </c>
      <c r="V14">
        <v>22</v>
      </c>
      <c r="W14">
        <v>25</v>
      </c>
      <c r="X14">
        <v>46.4</v>
      </c>
    </row>
    <row r="15" spans="1:24" x14ac:dyDescent="0.25">
      <c r="A15" t="s">
        <v>24</v>
      </c>
      <c r="B15" s="1" t="s">
        <v>77</v>
      </c>
      <c r="C15">
        <v>1</v>
      </c>
      <c r="D15" s="1">
        <v>0</v>
      </c>
      <c r="E15" s="1">
        <v>0</v>
      </c>
      <c r="F15" t="s">
        <v>26</v>
      </c>
      <c r="G15">
        <v>1</v>
      </c>
      <c r="H15">
        <v>1</v>
      </c>
      <c r="I15">
        <v>0.5</v>
      </c>
      <c r="J15">
        <v>0</v>
      </c>
      <c r="K15">
        <v>0</v>
      </c>
      <c r="L15">
        <v>0</v>
      </c>
      <c r="M15" s="1">
        <v>3</v>
      </c>
      <c r="N15" s="1">
        <v>3</v>
      </c>
      <c r="O15">
        <v>3</v>
      </c>
      <c r="P15">
        <v>3</v>
      </c>
      <c r="Q15">
        <v>0</v>
      </c>
      <c r="R15" t="s">
        <v>26</v>
      </c>
      <c r="S15">
        <v>100</v>
      </c>
      <c r="T15" t="s">
        <v>26</v>
      </c>
      <c r="U15">
        <v>100</v>
      </c>
      <c r="V15">
        <v>32</v>
      </c>
      <c r="W15">
        <v>23</v>
      </c>
      <c r="X15">
        <v>58.5</v>
      </c>
    </row>
    <row r="16" spans="1:24" x14ac:dyDescent="0.25">
      <c r="A16" t="s">
        <v>24</v>
      </c>
      <c r="B16" s="1" t="s">
        <v>102</v>
      </c>
      <c r="C16">
        <v>1</v>
      </c>
      <c r="D16" s="1">
        <v>0</v>
      </c>
      <c r="E16" s="1">
        <v>1</v>
      </c>
      <c r="F16" t="s">
        <v>26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>
        <v>2</v>
      </c>
      <c r="N16" s="1">
        <v>6</v>
      </c>
      <c r="O16">
        <v>2</v>
      </c>
      <c r="P16">
        <v>6</v>
      </c>
      <c r="Q16">
        <v>0</v>
      </c>
      <c r="R16" t="s">
        <v>26</v>
      </c>
      <c r="S16">
        <v>100</v>
      </c>
      <c r="T16" t="s">
        <v>26</v>
      </c>
      <c r="U16">
        <v>100</v>
      </c>
      <c r="V16">
        <v>20</v>
      </c>
      <c r="W16">
        <v>45</v>
      </c>
      <c r="X16">
        <v>41.4</v>
      </c>
    </row>
    <row r="17" spans="1:24" x14ac:dyDescent="0.25">
      <c r="A17" t="s">
        <v>24</v>
      </c>
      <c r="B17" s="1" t="s">
        <v>46</v>
      </c>
      <c r="C17">
        <v>1</v>
      </c>
      <c r="D17" s="1">
        <v>0</v>
      </c>
      <c r="E17" s="1">
        <v>1</v>
      </c>
      <c r="F17" t="s">
        <v>26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1">
        <v>2</v>
      </c>
      <c r="N17" s="1">
        <v>4</v>
      </c>
      <c r="O17">
        <v>2</v>
      </c>
      <c r="P17">
        <v>4</v>
      </c>
      <c r="Q17">
        <v>0</v>
      </c>
      <c r="R17" t="s">
        <v>26</v>
      </c>
      <c r="S17">
        <v>66.7</v>
      </c>
      <c r="T17" t="s">
        <v>26</v>
      </c>
      <c r="U17">
        <v>66.7</v>
      </c>
      <c r="V17">
        <v>24</v>
      </c>
      <c r="W17">
        <v>26</v>
      </c>
      <c r="X17">
        <v>40</v>
      </c>
    </row>
    <row r="19" spans="1:24" x14ac:dyDescent="0.25">
      <c r="A19" t="s">
        <v>112</v>
      </c>
      <c r="B19" s="2" t="s">
        <v>113</v>
      </c>
      <c r="C19" t="s">
        <v>114</v>
      </c>
      <c r="D19" t="s">
        <v>115</v>
      </c>
      <c r="E19" t="s">
        <v>3</v>
      </c>
      <c r="F19" t="s">
        <v>116</v>
      </c>
      <c r="G19" t="s">
        <v>117</v>
      </c>
    </row>
    <row r="20" spans="1:24" x14ac:dyDescent="0.25">
      <c r="A20" t="s">
        <v>120</v>
      </c>
      <c r="B20">
        <f>SUM(C2:C17)</f>
        <v>16</v>
      </c>
      <c r="C20">
        <f>AVERAGE(M2:M17)</f>
        <v>2.375</v>
      </c>
      <c r="D20">
        <f>AVERAGE(N2:N17)</f>
        <v>3.0625</v>
      </c>
      <c r="E20">
        <f>COUNTIF(D2:D17, "1")</f>
        <v>7</v>
      </c>
      <c r="F20">
        <f>(SUM(M2:M17)-(SUM(N2:N17)))</f>
        <v>-11</v>
      </c>
      <c r="G20" s="6">
        <f>E20/B20</f>
        <v>0.4375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97447-121F-4CB7-9113-4FAA1B91B0FB}">
  <dimension ref="A1:X8"/>
  <sheetViews>
    <sheetView workbookViewId="0">
      <selection activeCell="G8" sqref="G8"/>
    </sheetView>
  </sheetViews>
  <sheetFormatPr defaultRowHeight="15.75" x14ac:dyDescent="0.25"/>
  <cols>
    <col min="6" max="6" width="14.5" bestFit="1" customWidth="1"/>
  </cols>
  <sheetData>
    <row r="1" spans="1:24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 t="s">
        <v>103</v>
      </c>
      <c r="C2">
        <v>1</v>
      </c>
      <c r="D2" s="1">
        <v>1</v>
      </c>
      <c r="E2" s="1">
        <v>0</v>
      </c>
      <c r="F2" t="s">
        <v>26</v>
      </c>
      <c r="G2">
        <v>0</v>
      </c>
      <c r="H2">
        <v>2</v>
      </c>
      <c r="I2">
        <v>1</v>
      </c>
      <c r="J2">
        <v>1</v>
      </c>
      <c r="K2">
        <v>1</v>
      </c>
      <c r="L2">
        <v>0</v>
      </c>
      <c r="M2" s="1">
        <v>6</v>
      </c>
      <c r="N2" s="1">
        <v>3</v>
      </c>
      <c r="O2">
        <v>6</v>
      </c>
      <c r="P2">
        <v>3</v>
      </c>
      <c r="Q2">
        <v>0</v>
      </c>
      <c r="R2">
        <v>25</v>
      </c>
      <c r="S2">
        <v>100</v>
      </c>
      <c r="T2">
        <v>25</v>
      </c>
      <c r="U2">
        <v>100</v>
      </c>
      <c r="V2">
        <v>17</v>
      </c>
      <c r="W2">
        <v>27</v>
      </c>
      <c r="X2">
        <v>46.4</v>
      </c>
    </row>
    <row r="3" spans="1:24" x14ac:dyDescent="0.25">
      <c r="A3" t="s">
        <v>24</v>
      </c>
      <c r="B3" s="1" t="s">
        <v>44</v>
      </c>
      <c r="C3">
        <v>1</v>
      </c>
      <c r="D3" s="1">
        <v>0</v>
      </c>
      <c r="E3" s="1">
        <v>1</v>
      </c>
      <c r="F3" t="s">
        <v>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v>0</v>
      </c>
      <c r="N3" s="1">
        <v>4</v>
      </c>
      <c r="O3">
        <v>0</v>
      </c>
      <c r="P3">
        <v>4</v>
      </c>
      <c r="Q3">
        <v>0</v>
      </c>
      <c r="R3" t="s">
        <v>26</v>
      </c>
      <c r="S3">
        <v>100</v>
      </c>
      <c r="T3" t="s">
        <v>26</v>
      </c>
      <c r="U3">
        <v>100</v>
      </c>
      <c r="V3">
        <v>21</v>
      </c>
      <c r="W3">
        <v>20</v>
      </c>
      <c r="X3">
        <v>38.5</v>
      </c>
    </row>
    <row r="4" spans="1:24" x14ac:dyDescent="0.25">
      <c r="A4" t="s">
        <v>24</v>
      </c>
      <c r="B4" s="1" t="s">
        <v>94</v>
      </c>
      <c r="C4">
        <v>1</v>
      </c>
      <c r="D4" s="1">
        <v>0</v>
      </c>
      <c r="E4" s="1">
        <v>1</v>
      </c>
      <c r="F4" t="s">
        <v>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2</v>
      </c>
      <c r="N4" s="1">
        <v>4</v>
      </c>
      <c r="O4">
        <v>2</v>
      </c>
      <c r="P4">
        <v>4</v>
      </c>
      <c r="Q4">
        <v>0</v>
      </c>
      <c r="R4">
        <v>20</v>
      </c>
      <c r="S4" t="s">
        <v>26</v>
      </c>
      <c r="T4">
        <v>20</v>
      </c>
      <c r="U4" t="s">
        <v>26</v>
      </c>
      <c r="V4">
        <v>23</v>
      </c>
      <c r="W4">
        <v>26</v>
      </c>
      <c r="X4">
        <v>56.8</v>
      </c>
    </row>
    <row r="5" spans="1:24" x14ac:dyDescent="0.25">
      <c r="A5" t="s">
        <v>24</v>
      </c>
      <c r="B5" s="1" t="s">
        <v>65</v>
      </c>
      <c r="C5">
        <v>1</v>
      </c>
      <c r="D5" s="1">
        <v>0</v>
      </c>
      <c r="E5" s="1">
        <v>1</v>
      </c>
      <c r="F5" t="s">
        <v>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1</v>
      </c>
      <c r="N5" s="1">
        <v>3</v>
      </c>
      <c r="O5">
        <v>1</v>
      </c>
      <c r="P5">
        <v>3</v>
      </c>
      <c r="Q5">
        <v>0</v>
      </c>
      <c r="R5">
        <v>20</v>
      </c>
      <c r="S5">
        <v>100</v>
      </c>
      <c r="T5">
        <v>20</v>
      </c>
      <c r="U5">
        <v>100</v>
      </c>
      <c r="V5">
        <v>15</v>
      </c>
      <c r="W5">
        <v>35</v>
      </c>
      <c r="X5">
        <v>40</v>
      </c>
    </row>
    <row r="7" spans="1:24" x14ac:dyDescent="0.25">
      <c r="A7" t="s">
        <v>112</v>
      </c>
      <c r="B7" s="2" t="s">
        <v>113</v>
      </c>
      <c r="C7" t="s">
        <v>114</v>
      </c>
      <c r="D7" t="s">
        <v>115</v>
      </c>
      <c r="E7" t="s">
        <v>3</v>
      </c>
      <c r="F7" t="s">
        <v>116</v>
      </c>
      <c r="G7" t="s">
        <v>117</v>
      </c>
    </row>
    <row r="8" spans="1:24" x14ac:dyDescent="0.25">
      <c r="A8" t="s">
        <v>121</v>
      </c>
      <c r="B8">
        <f>4</f>
        <v>4</v>
      </c>
      <c r="C8">
        <f>AVERAGE(M2:M5)</f>
        <v>2.25</v>
      </c>
      <c r="D8">
        <f>AVERAGE(N2:N5)</f>
        <v>3.5</v>
      </c>
      <c r="E8" s="2">
        <v>1</v>
      </c>
      <c r="F8">
        <f>(SUM(M2:M5)-(SUM(N2:N5)))</f>
        <v>-5</v>
      </c>
      <c r="G8" s="6">
        <f>E8/B8</f>
        <v>0.25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D7E8-B62B-4772-98C9-D4F51BFB9CF4}">
  <dimension ref="A1:X20"/>
  <sheetViews>
    <sheetView workbookViewId="0">
      <selection activeCell="I19" sqref="I19"/>
    </sheetView>
  </sheetViews>
  <sheetFormatPr defaultRowHeight="15.75" x14ac:dyDescent="0.25"/>
  <cols>
    <col min="6" max="6" width="14.5" bestFit="1" customWidth="1"/>
  </cols>
  <sheetData>
    <row r="1" spans="1:24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 t="s">
        <v>82</v>
      </c>
      <c r="C2">
        <v>1</v>
      </c>
      <c r="D2" s="1">
        <v>1</v>
      </c>
      <c r="E2" s="1">
        <v>0</v>
      </c>
      <c r="F2" t="s">
        <v>26</v>
      </c>
      <c r="G2">
        <v>0</v>
      </c>
      <c r="H2">
        <v>2</v>
      </c>
      <c r="I2">
        <v>1</v>
      </c>
      <c r="J2">
        <v>1</v>
      </c>
      <c r="K2">
        <v>1</v>
      </c>
      <c r="L2">
        <v>0</v>
      </c>
      <c r="M2" s="1">
        <v>4</v>
      </c>
      <c r="N2" s="1">
        <v>0</v>
      </c>
      <c r="O2">
        <v>4</v>
      </c>
      <c r="P2">
        <v>0</v>
      </c>
      <c r="Q2">
        <v>1</v>
      </c>
      <c r="R2">
        <v>33.299999999999997</v>
      </c>
      <c r="S2">
        <v>100</v>
      </c>
      <c r="T2">
        <v>33.299999999999997</v>
      </c>
      <c r="U2">
        <v>150</v>
      </c>
      <c r="V2">
        <v>28</v>
      </c>
      <c r="W2">
        <v>22</v>
      </c>
      <c r="X2">
        <v>33.9</v>
      </c>
    </row>
    <row r="3" spans="1:24" x14ac:dyDescent="0.25">
      <c r="A3" t="s">
        <v>24</v>
      </c>
      <c r="B3" s="1" t="s">
        <v>99</v>
      </c>
      <c r="C3">
        <v>1</v>
      </c>
      <c r="D3" s="1">
        <v>0</v>
      </c>
      <c r="E3" s="1">
        <v>0</v>
      </c>
      <c r="F3" t="s">
        <v>26</v>
      </c>
      <c r="G3">
        <v>1</v>
      </c>
      <c r="H3">
        <v>1</v>
      </c>
      <c r="I3">
        <v>0.5</v>
      </c>
      <c r="J3">
        <v>0</v>
      </c>
      <c r="K3">
        <v>0</v>
      </c>
      <c r="L3">
        <v>0</v>
      </c>
      <c r="M3" s="1">
        <v>2</v>
      </c>
      <c r="N3" s="1">
        <v>3</v>
      </c>
      <c r="O3">
        <v>2</v>
      </c>
      <c r="P3">
        <v>3</v>
      </c>
      <c r="Q3">
        <v>0</v>
      </c>
      <c r="R3">
        <v>33.299999999999997</v>
      </c>
      <c r="S3">
        <v>100</v>
      </c>
      <c r="T3">
        <v>33.299999999999997</v>
      </c>
      <c r="U3">
        <v>100</v>
      </c>
      <c r="V3">
        <v>19</v>
      </c>
      <c r="W3">
        <v>32</v>
      </c>
      <c r="X3">
        <v>56.9</v>
      </c>
    </row>
    <row r="4" spans="1:24" x14ac:dyDescent="0.25">
      <c r="A4" t="s">
        <v>24</v>
      </c>
      <c r="B4" s="1" t="s">
        <v>42</v>
      </c>
      <c r="C4">
        <v>1</v>
      </c>
      <c r="D4" s="1">
        <v>0</v>
      </c>
      <c r="E4" s="1">
        <v>1</v>
      </c>
      <c r="F4" t="s">
        <v>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3</v>
      </c>
      <c r="N4" s="1">
        <v>6</v>
      </c>
      <c r="O4">
        <v>3</v>
      </c>
      <c r="P4">
        <v>6</v>
      </c>
      <c r="Q4">
        <v>0</v>
      </c>
      <c r="R4" t="s">
        <v>26</v>
      </c>
      <c r="S4">
        <v>75</v>
      </c>
      <c r="T4" t="s">
        <v>26</v>
      </c>
      <c r="U4">
        <v>75</v>
      </c>
      <c r="V4">
        <v>23</v>
      </c>
      <c r="W4">
        <v>22</v>
      </c>
      <c r="X4">
        <v>32.700000000000003</v>
      </c>
    </row>
    <row r="5" spans="1:24" x14ac:dyDescent="0.25">
      <c r="A5" t="s">
        <v>24</v>
      </c>
      <c r="B5" s="1" t="s">
        <v>59</v>
      </c>
      <c r="C5">
        <v>1</v>
      </c>
      <c r="D5" s="1">
        <v>0</v>
      </c>
      <c r="E5" s="1">
        <v>0</v>
      </c>
      <c r="F5" t="s">
        <v>26</v>
      </c>
      <c r="G5">
        <v>1</v>
      </c>
      <c r="H5">
        <v>1</v>
      </c>
      <c r="I5">
        <v>0.5</v>
      </c>
      <c r="J5">
        <v>0</v>
      </c>
      <c r="K5">
        <v>0</v>
      </c>
      <c r="L5">
        <v>0</v>
      </c>
      <c r="M5" s="1">
        <v>3</v>
      </c>
      <c r="N5" s="1">
        <v>4</v>
      </c>
      <c r="O5">
        <v>3</v>
      </c>
      <c r="P5">
        <v>4</v>
      </c>
      <c r="Q5">
        <v>0</v>
      </c>
      <c r="R5" t="s">
        <v>26</v>
      </c>
      <c r="S5">
        <v>66.7</v>
      </c>
      <c r="T5" t="s">
        <v>26</v>
      </c>
      <c r="U5">
        <v>66.7</v>
      </c>
      <c r="V5">
        <v>19</v>
      </c>
      <c r="W5">
        <v>31</v>
      </c>
      <c r="X5">
        <v>31</v>
      </c>
    </row>
    <row r="6" spans="1:24" x14ac:dyDescent="0.25">
      <c r="A6" t="s">
        <v>24</v>
      </c>
      <c r="B6" s="1" t="s">
        <v>47</v>
      </c>
      <c r="C6">
        <v>1</v>
      </c>
      <c r="D6" s="1">
        <v>1</v>
      </c>
      <c r="E6" s="1">
        <v>0</v>
      </c>
      <c r="F6" t="s">
        <v>26</v>
      </c>
      <c r="G6">
        <v>0</v>
      </c>
      <c r="H6">
        <v>2</v>
      </c>
      <c r="I6">
        <v>1</v>
      </c>
      <c r="J6">
        <v>0</v>
      </c>
      <c r="K6">
        <v>1</v>
      </c>
      <c r="L6">
        <v>0</v>
      </c>
      <c r="M6" s="1">
        <v>3</v>
      </c>
      <c r="N6" s="1">
        <v>2</v>
      </c>
      <c r="O6">
        <v>3</v>
      </c>
      <c r="P6">
        <v>2</v>
      </c>
      <c r="Q6">
        <v>0</v>
      </c>
      <c r="R6">
        <v>25</v>
      </c>
      <c r="S6">
        <v>100</v>
      </c>
      <c r="T6">
        <v>25</v>
      </c>
      <c r="U6">
        <v>100</v>
      </c>
      <c r="V6">
        <v>26</v>
      </c>
      <c r="W6">
        <v>25</v>
      </c>
      <c r="X6">
        <v>52.9</v>
      </c>
    </row>
    <row r="7" spans="1:24" x14ac:dyDescent="0.25">
      <c r="A7" t="s">
        <v>24</v>
      </c>
      <c r="B7" s="1" t="s">
        <v>54</v>
      </c>
      <c r="C7">
        <v>1</v>
      </c>
      <c r="D7" s="1">
        <v>1</v>
      </c>
      <c r="E7" s="1">
        <v>0</v>
      </c>
      <c r="F7" t="s">
        <v>26</v>
      </c>
      <c r="G7">
        <v>0</v>
      </c>
      <c r="H7">
        <v>2</v>
      </c>
      <c r="I7">
        <v>1</v>
      </c>
      <c r="J7">
        <v>0</v>
      </c>
      <c r="K7">
        <v>1</v>
      </c>
      <c r="L7">
        <v>0</v>
      </c>
      <c r="M7" s="1">
        <v>3</v>
      </c>
      <c r="N7" s="1">
        <v>2</v>
      </c>
      <c r="O7">
        <v>3</v>
      </c>
      <c r="P7">
        <v>2</v>
      </c>
      <c r="Q7">
        <v>0</v>
      </c>
      <c r="R7">
        <v>100</v>
      </c>
      <c r="S7">
        <v>100</v>
      </c>
      <c r="T7">
        <v>100</v>
      </c>
      <c r="U7">
        <v>100</v>
      </c>
      <c r="V7">
        <v>23</v>
      </c>
      <c r="W7">
        <v>31</v>
      </c>
      <c r="X7">
        <v>42.9</v>
      </c>
    </row>
    <row r="8" spans="1:24" x14ac:dyDescent="0.25">
      <c r="A8" t="s">
        <v>24</v>
      </c>
      <c r="B8" s="1" t="s">
        <v>107</v>
      </c>
      <c r="C8">
        <v>1</v>
      </c>
      <c r="D8" s="1">
        <v>0</v>
      </c>
      <c r="E8" s="1">
        <v>1</v>
      </c>
      <c r="F8" t="s">
        <v>26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1">
        <v>0</v>
      </c>
      <c r="N8" s="1">
        <v>4</v>
      </c>
      <c r="O8">
        <v>0</v>
      </c>
      <c r="P8">
        <v>4</v>
      </c>
      <c r="Q8">
        <v>0</v>
      </c>
      <c r="R8" t="s">
        <v>26</v>
      </c>
      <c r="S8">
        <v>60</v>
      </c>
      <c r="T8" t="s">
        <v>26</v>
      </c>
      <c r="U8">
        <v>60</v>
      </c>
      <c r="V8">
        <v>21</v>
      </c>
      <c r="W8">
        <v>32</v>
      </c>
      <c r="X8">
        <v>56.4</v>
      </c>
    </row>
    <row r="9" spans="1:24" x14ac:dyDescent="0.25">
      <c r="A9" t="s">
        <v>24</v>
      </c>
      <c r="B9" s="1" t="s">
        <v>50</v>
      </c>
      <c r="C9">
        <v>1</v>
      </c>
      <c r="D9" s="1">
        <v>0</v>
      </c>
      <c r="E9" s="1">
        <v>0</v>
      </c>
      <c r="F9" t="s">
        <v>26</v>
      </c>
      <c r="G9">
        <v>1</v>
      </c>
      <c r="H9">
        <v>1</v>
      </c>
      <c r="I9">
        <v>0.5</v>
      </c>
      <c r="J9">
        <v>0</v>
      </c>
      <c r="K9">
        <v>0</v>
      </c>
      <c r="L9">
        <v>0</v>
      </c>
      <c r="M9" s="1">
        <v>3</v>
      </c>
      <c r="N9" s="1">
        <v>4</v>
      </c>
      <c r="O9">
        <v>3</v>
      </c>
      <c r="P9">
        <v>4</v>
      </c>
      <c r="Q9">
        <v>0</v>
      </c>
      <c r="R9" t="s">
        <v>26</v>
      </c>
      <c r="S9" t="s">
        <v>26</v>
      </c>
      <c r="T9" t="s">
        <v>26</v>
      </c>
      <c r="U9" t="s">
        <v>26</v>
      </c>
      <c r="V9">
        <v>26</v>
      </c>
      <c r="W9">
        <v>37</v>
      </c>
      <c r="X9">
        <v>41.7</v>
      </c>
    </row>
    <row r="10" spans="1:24" x14ac:dyDescent="0.25">
      <c r="A10" t="s">
        <v>24</v>
      </c>
      <c r="B10" s="1" t="s">
        <v>34</v>
      </c>
      <c r="C10">
        <v>1</v>
      </c>
      <c r="D10" s="1">
        <v>1</v>
      </c>
      <c r="E10" s="1">
        <v>0</v>
      </c>
      <c r="F10" t="s">
        <v>26</v>
      </c>
      <c r="G10">
        <v>0</v>
      </c>
      <c r="H10">
        <v>2</v>
      </c>
      <c r="I10">
        <v>1</v>
      </c>
      <c r="J10">
        <v>1</v>
      </c>
      <c r="K10">
        <v>1</v>
      </c>
      <c r="L10">
        <v>0</v>
      </c>
      <c r="M10" s="1">
        <v>2</v>
      </c>
      <c r="N10" s="1">
        <v>1</v>
      </c>
      <c r="O10">
        <v>2</v>
      </c>
      <c r="P10">
        <v>1</v>
      </c>
      <c r="Q10">
        <v>0</v>
      </c>
      <c r="R10" t="s">
        <v>26</v>
      </c>
      <c r="S10">
        <v>100</v>
      </c>
      <c r="T10" t="s">
        <v>26</v>
      </c>
      <c r="U10">
        <v>100</v>
      </c>
      <c r="V10">
        <v>26</v>
      </c>
      <c r="W10">
        <v>29</v>
      </c>
      <c r="X10">
        <v>46</v>
      </c>
    </row>
    <row r="11" spans="1:24" x14ac:dyDescent="0.25">
      <c r="A11" t="s">
        <v>24</v>
      </c>
      <c r="B11" s="1" t="s">
        <v>31</v>
      </c>
      <c r="C11">
        <v>1</v>
      </c>
      <c r="D11" s="1">
        <v>0</v>
      </c>
      <c r="E11" s="1">
        <v>1</v>
      </c>
      <c r="F11" t="s">
        <v>26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1</v>
      </c>
      <c r="N11" s="1">
        <v>4</v>
      </c>
      <c r="O11">
        <v>1</v>
      </c>
      <c r="P11">
        <v>4</v>
      </c>
      <c r="Q11">
        <v>0</v>
      </c>
      <c r="R11" t="s">
        <v>26</v>
      </c>
      <c r="S11">
        <v>60</v>
      </c>
      <c r="T11" t="s">
        <v>26</v>
      </c>
      <c r="U11">
        <v>60</v>
      </c>
      <c r="V11">
        <v>20</v>
      </c>
      <c r="W11">
        <v>49</v>
      </c>
      <c r="X11">
        <v>40.799999999999997</v>
      </c>
    </row>
    <row r="12" spans="1:24" x14ac:dyDescent="0.25">
      <c r="A12" t="s">
        <v>24</v>
      </c>
      <c r="B12" s="1" t="s">
        <v>100</v>
      </c>
      <c r="C12">
        <v>1</v>
      </c>
      <c r="D12" s="1">
        <v>0</v>
      </c>
      <c r="E12" s="1">
        <v>0</v>
      </c>
      <c r="F12" t="s">
        <v>26</v>
      </c>
      <c r="G12">
        <v>1</v>
      </c>
      <c r="H12">
        <v>1</v>
      </c>
      <c r="I12">
        <v>0.5</v>
      </c>
      <c r="J12">
        <v>0</v>
      </c>
      <c r="K12">
        <v>0</v>
      </c>
      <c r="L12">
        <v>0</v>
      </c>
      <c r="M12" s="1">
        <v>2</v>
      </c>
      <c r="N12" s="1">
        <v>3</v>
      </c>
      <c r="O12">
        <v>2</v>
      </c>
      <c r="P12">
        <v>3</v>
      </c>
      <c r="Q12">
        <v>0</v>
      </c>
      <c r="R12" t="s">
        <v>26</v>
      </c>
      <c r="S12">
        <v>100</v>
      </c>
      <c r="T12" t="s">
        <v>26</v>
      </c>
      <c r="U12">
        <v>100</v>
      </c>
      <c r="V12">
        <v>29</v>
      </c>
      <c r="W12">
        <v>33</v>
      </c>
      <c r="X12">
        <v>47.9</v>
      </c>
    </row>
    <row r="13" spans="1:24" x14ac:dyDescent="0.25">
      <c r="A13" t="s">
        <v>24</v>
      </c>
      <c r="B13" s="1" t="s">
        <v>92</v>
      </c>
      <c r="C13">
        <v>1</v>
      </c>
      <c r="D13" s="1">
        <v>1</v>
      </c>
      <c r="E13" s="1">
        <v>0</v>
      </c>
      <c r="F13" t="s">
        <v>26</v>
      </c>
      <c r="G13">
        <v>0</v>
      </c>
      <c r="H13">
        <v>2</v>
      </c>
      <c r="I13">
        <v>1</v>
      </c>
      <c r="J13">
        <v>1</v>
      </c>
      <c r="K13">
        <v>1</v>
      </c>
      <c r="L13">
        <v>0</v>
      </c>
      <c r="M13" s="1">
        <v>4</v>
      </c>
      <c r="N13" s="1">
        <v>3</v>
      </c>
      <c r="O13">
        <v>4</v>
      </c>
      <c r="P13">
        <v>3</v>
      </c>
      <c r="Q13">
        <v>0</v>
      </c>
      <c r="R13" t="s">
        <v>26</v>
      </c>
      <c r="S13">
        <v>100</v>
      </c>
      <c r="T13" t="s">
        <v>26</v>
      </c>
      <c r="U13">
        <v>100</v>
      </c>
      <c r="V13">
        <v>24</v>
      </c>
      <c r="W13">
        <v>47</v>
      </c>
      <c r="X13">
        <v>41.8</v>
      </c>
    </row>
    <row r="14" spans="1:24" x14ac:dyDescent="0.25">
      <c r="A14" t="s">
        <v>24</v>
      </c>
      <c r="B14" s="1" t="s">
        <v>101</v>
      </c>
      <c r="C14">
        <v>1</v>
      </c>
      <c r="D14" s="1">
        <v>0</v>
      </c>
      <c r="E14" s="1">
        <v>1</v>
      </c>
      <c r="F14" t="s">
        <v>26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1</v>
      </c>
      <c r="N14" s="1">
        <v>5</v>
      </c>
      <c r="O14">
        <v>1</v>
      </c>
      <c r="P14">
        <v>5</v>
      </c>
      <c r="Q14">
        <v>0</v>
      </c>
      <c r="R14" t="s">
        <v>26</v>
      </c>
      <c r="S14">
        <v>100</v>
      </c>
      <c r="T14" t="s">
        <v>26</v>
      </c>
      <c r="U14">
        <v>100</v>
      </c>
      <c r="V14">
        <v>26</v>
      </c>
      <c r="W14">
        <v>42</v>
      </c>
      <c r="X14">
        <v>38.200000000000003</v>
      </c>
    </row>
    <row r="15" spans="1:24" x14ac:dyDescent="0.25">
      <c r="A15" t="s">
        <v>24</v>
      </c>
      <c r="B15" s="1" t="s">
        <v>68</v>
      </c>
      <c r="C15">
        <v>1</v>
      </c>
      <c r="D15" s="1">
        <v>0</v>
      </c>
      <c r="E15" s="1">
        <v>1</v>
      </c>
      <c r="F15" t="s">
        <v>26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1">
        <v>1</v>
      </c>
      <c r="N15" s="1">
        <v>6</v>
      </c>
      <c r="O15">
        <v>1</v>
      </c>
      <c r="P15">
        <v>6</v>
      </c>
      <c r="Q15">
        <v>0</v>
      </c>
      <c r="R15" t="s">
        <v>26</v>
      </c>
      <c r="S15">
        <v>66.7</v>
      </c>
      <c r="T15" t="s">
        <v>26</v>
      </c>
      <c r="U15">
        <v>66.7</v>
      </c>
      <c r="V15">
        <v>28</v>
      </c>
      <c r="W15">
        <v>38</v>
      </c>
      <c r="X15">
        <v>40</v>
      </c>
    </row>
    <row r="16" spans="1:24" x14ac:dyDescent="0.25">
      <c r="A16" t="s">
        <v>24</v>
      </c>
      <c r="B16" s="1" t="s">
        <v>48</v>
      </c>
      <c r="C16">
        <v>1</v>
      </c>
      <c r="D16" s="1">
        <v>0</v>
      </c>
      <c r="E16" s="1">
        <v>1</v>
      </c>
      <c r="F16" t="s">
        <v>26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1">
        <v>3</v>
      </c>
      <c r="N16" s="1">
        <v>5</v>
      </c>
      <c r="O16">
        <v>3</v>
      </c>
      <c r="P16">
        <v>5</v>
      </c>
      <c r="Q16">
        <v>0</v>
      </c>
      <c r="R16">
        <v>33.299999999999997</v>
      </c>
      <c r="S16">
        <v>50</v>
      </c>
      <c r="T16">
        <v>33.299999999999997</v>
      </c>
      <c r="U16">
        <v>50</v>
      </c>
      <c r="V16">
        <v>31</v>
      </c>
      <c r="W16">
        <v>40</v>
      </c>
      <c r="X16">
        <v>39.700000000000003</v>
      </c>
    </row>
    <row r="17" spans="1:24" x14ac:dyDescent="0.25">
      <c r="A17" t="s">
        <v>24</v>
      </c>
      <c r="B17" s="1" t="s">
        <v>49</v>
      </c>
      <c r="C17">
        <v>1</v>
      </c>
      <c r="D17" s="1">
        <v>0</v>
      </c>
      <c r="E17" s="1">
        <v>0</v>
      </c>
      <c r="F17" t="s">
        <v>26</v>
      </c>
      <c r="G17">
        <v>1</v>
      </c>
      <c r="H17">
        <v>1</v>
      </c>
      <c r="I17">
        <v>0.5</v>
      </c>
      <c r="J17">
        <v>0</v>
      </c>
      <c r="K17">
        <v>0</v>
      </c>
      <c r="L17">
        <v>0</v>
      </c>
      <c r="M17" s="1">
        <v>3</v>
      </c>
      <c r="N17" s="1">
        <v>4</v>
      </c>
      <c r="O17">
        <v>3</v>
      </c>
      <c r="P17">
        <v>4</v>
      </c>
      <c r="Q17">
        <v>0</v>
      </c>
      <c r="R17" t="s">
        <v>26</v>
      </c>
      <c r="S17" t="s">
        <v>26</v>
      </c>
      <c r="T17" t="s">
        <v>26</v>
      </c>
      <c r="U17" t="s">
        <v>26</v>
      </c>
      <c r="V17">
        <v>21</v>
      </c>
      <c r="W17">
        <v>24</v>
      </c>
      <c r="X17">
        <v>33.299999999999997</v>
      </c>
    </row>
    <row r="19" spans="1:24" x14ac:dyDescent="0.25">
      <c r="A19" t="s">
        <v>112</v>
      </c>
      <c r="B19" s="2" t="s">
        <v>113</v>
      </c>
      <c r="C19" t="s">
        <v>114</v>
      </c>
      <c r="D19" t="s">
        <v>115</v>
      </c>
      <c r="E19" t="s">
        <v>3</v>
      </c>
      <c r="F19" t="s">
        <v>116</v>
      </c>
      <c r="G19" t="s">
        <v>117</v>
      </c>
    </row>
    <row r="20" spans="1:24" x14ac:dyDescent="0.25">
      <c r="A20" t="s">
        <v>122</v>
      </c>
      <c r="B20">
        <f>SUM(C2:C17)</f>
        <v>16</v>
      </c>
      <c r="C20">
        <f>AVERAGE(M2:M17)</f>
        <v>2.375</v>
      </c>
      <c r="D20">
        <f>AVERAGE(N2:N17)</f>
        <v>3.5</v>
      </c>
      <c r="E20">
        <f>COUNTIF(D2:D17, "1")</f>
        <v>5</v>
      </c>
      <c r="F20">
        <f>(SUM(M2:M17)-(SUM(N2:N17)))</f>
        <v>-18</v>
      </c>
      <c r="G20" s="6">
        <f>E20/B20</f>
        <v>0.3125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88EA-63C1-4F7B-828D-316FDDC82107}">
  <dimension ref="A1:X11"/>
  <sheetViews>
    <sheetView workbookViewId="0">
      <selection activeCell="G14" sqref="G14"/>
    </sheetView>
  </sheetViews>
  <sheetFormatPr defaultRowHeight="15.75" x14ac:dyDescent="0.25"/>
  <cols>
    <col min="6" max="6" width="14.5" bestFit="1" customWidth="1"/>
  </cols>
  <sheetData>
    <row r="1" spans="1:24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 t="s">
        <v>66</v>
      </c>
      <c r="C2">
        <v>1</v>
      </c>
      <c r="D2" s="1">
        <v>0</v>
      </c>
      <c r="E2" s="1">
        <v>1</v>
      </c>
      <c r="F2" t="s">
        <v>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1</v>
      </c>
      <c r="N2" s="1">
        <v>3</v>
      </c>
      <c r="O2">
        <v>1</v>
      </c>
      <c r="P2">
        <v>3</v>
      </c>
      <c r="Q2">
        <v>0</v>
      </c>
      <c r="R2" t="s">
        <v>26</v>
      </c>
      <c r="S2">
        <v>66.7</v>
      </c>
      <c r="T2" t="s">
        <v>26</v>
      </c>
      <c r="U2">
        <v>66.7</v>
      </c>
      <c r="V2">
        <v>18</v>
      </c>
      <c r="W2">
        <v>39</v>
      </c>
      <c r="X2">
        <v>50</v>
      </c>
    </row>
    <row r="3" spans="1:24" x14ac:dyDescent="0.25">
      <c r="A3" t="s">
        <v>24</v>
      </c>
      <c r="B3" s="1" t="s">
        <v>39</v>
      </c>
      <c r="C3">
        <v>1</v>
      </c>
      <c r="D3" s="1">
        <v>1</v>
      </c>
      <c r="E3" s="1">
        <v>0</v>
      </c>
      <c r="F3" t="s">
        <v>26</v>
      </c>
      <c r="G3">
        <v>0</v>
      </c>
      <c r="H3">
        <v>2</v>
      </c>
      <c r="I3">
        <v>1</v>
      </c>
      <c r="J3">
        <v>1</v>
      </c>
      <c r="K3">
        <v>1</v>
      </c>
      <c r="L3">
        <v>0</v>
      </c>
      <c r="M3" s="1">
        <v>4</v>
      </c>
      <c r="N3" s="1">
        <v>2</v>
      </c>
      <c r="O3">
        <v>4</v>
      </c>
      <c r="P3">
        <v>2</v>
      </c>
      <c r="Q3">
        <v>0</v>
      </c>
      <c r="R3">
        <v>33.299999999999997</v>
      </c>
      <c r="S3">
        <v>100</v>
      </c>
      <c r="T3">
        <v>33.299999999999997</v>
      </c>
      <c r="U3">
        <v>100</v>
      </c>
      <c r="V3">
        <v>31</v>
      </c>
      <c r="W3">
        <v>27</v>
      </c>
      <c r="X3">
        <v>44.6</v>
      </c>
    </row>
    <row r="4" spans="1:24" x14ac:dyDescent="0.25">
      <c r="A4" t="s">
        <v>24</v>
      </c>
      <c r="B4" s="1" t="s">
        <v>98</v>
      </c>
      <c r="C4">
        <v>1</v>
      </c>
      <c r="D4" s="1">
        <v>0</v>
      </c>
      <c r="E4" s="1">
        <v>1</v>
      </c>
      <c r="F4" t="s">
        <v>26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1">
        <v>2</v>
      </c>
      <c r="N4" s="1">
        <v>3</v>
      </c>
      <c r="O4">
        <v>2</v>
      </c>
      <c r="P4">
        <v>3</v>
      </c>
      <c r="Q4">
        <v>0</v>
      </c>
      <c r="R4">
        <v>33.299999999999997</v>
      </c>
      <c r="S4">
        <v>100</v>
      </c>
      <c r="T4">
        <v>33.299999999999997</v>
      </c>
      <c r="U4">
        <v>100</v>
      </c>
      <c r="V4">
        <v>29</v>
      </c>
      <c r="W4">
        <v>23</v>
      </c>
      <c r="X4">
        <v>30.8</v>
      </c>
    </row>
    <row r="5" spans="1:24" x14ac:dyDescent="0.25">
      <c r="A5" t="s">
        <v>24</v>
      </c>
      <c r="B5" s="1" t="s">
        <v>64</v>
      </c>
      <c r="C5">
        <v>1</v>
      </c>
      <c r="D5" s="1">
        <v>0</v>
      </c>
      <c r="E5" s="1">
        <v>1</v>
      </c>
      <c r="F5" t="s">
        <v>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2</v>
      </c>
      <c r="N5" s="1">
        <v>7</v>
      </c>
      <c r="O5">
        <v>2</v>
      </c>
      <c r="P5">
        <v>7</v>
      </c>
      <c r="Q5">
        <v>0</v>
      </c>
      <c r="R5" t="s">
        <v>26</v>
      </c>
      <c r="S5">
        <v>100</v>
      </c>
      <c r="T5" t="s">
        <v>26</v>
      </c>
      <c r="U5">
        <v>100</v>
      </c>
      <c r="V5">
        <v>25</v>
      </c>
      <c r="W5">
        <v>22</v>
      </c>
      <c r="X5">
        <v>50.8</v>
      </c>
    </row>
    <row r="6" spans="1:24" x14ac:dyDescent="0.25">
      <c r="A6" t="s">
        <v>24</v>
      </c>
      <c r="B6" s="1" t="s">
        <v>78</v>
      </c>
      <c r="C6">
        <v>1</v>
      </c>
      <c r="D6" s="1">
        <v>0</v>
      </c>
      <c r="E6" s="1">
        <v>1</v>
      </c>
      <c r="F6" t="s">
        <v>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1">
        <v>3</v>
      </c>
      <c r="N6" s="1">
        <v>5</v>
      </c>
      <c r="O6">
        <v>3</v>
      </c>
      <c r="P6">
        <v>5</v>
      </c>
      <c r="Q6">
        <v>0</v>
      </c>
      <c r="R6" t="s">
        <v>26</v>
      </c>
      <c r="S6" t="s">
        <v>26</v>
      </c>
      <c r="T6" t="s">
        <v>26</v>
      </c>
      <c r="U6" t="s">
        <v>26</v>
      </c>
      <c r="V6">
        <v>34</v>
      </c>
      <c r="W6">
        <v>28</v>
      </c>
      <c r="X6">
        <v>50.9</v>
      </c>
    </row>
    <row r="7" spans="1:24" x14ac:dyDescent="0.25">
      <c r="A7" t="s">
        <v>24</v>
      </c>
      <c r="B7" s="1" t="s">
        <v>70</v>
      </c>
      <c r="C7">
        <v>1</v>
      </c>
      <c r="D7" s="1">
        <v>0</v>
      </c>
      <c r="E7" s="1">
        <v>1</v>
      </c>
      <c r="F7" t="s">
        <v>26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>
        <v>1</v>
      </c>
      <c r="N7" s="1">
        <v>5</v>
      </c>
      <c r="O7">
        <v>1</v>
      </c>
      <c r="P7">
        <v>5</v>
      </c>
      <c r="Q7">
        <v>0</v>
      </c>
      <c r="R7" t="s">
        <v>26</v>
      </c>
      <c r="S7">
        <v>100</v>
      </c>
      <c r="T7" t="s">
        <v>26</v>
      </c>
      <c r="U7">
        <v>150</v>
      </c>
      <c r="V7">
        <v>16</v>
      </c>
      <c r="W7">
        <v>26</v>
      </c>
      <c r="X7">
        <v>44.6</v>
      </c>
    </row>
    <row r="8" spans="1:24" x14ac:dyDescent="0.25">
      <c r="A8" t="s">
        <v>24</v>
      </c>
      <c r="B8" s="1" t="s">
        <v>96</v>
      </c>
      <c r="C8">
        <v>1</v>
      </c>
      <c r="D8" s="1">
        <v>1</v>
      </c>
      <c r="E8" s="1">
        <v>0</v>
      </c>
      <c r="F8" t="s">
        <v>26</v>
      </c>
      <c r="G8">
        <v>0</v>
      </c>
      <c r="H8">
        <v>2</v>
      </c>
      <c r="I8">
        <v>1</v>
      </c>
      <c r="J8">
        <v>1</v>
      </c>
      <c r="K8">
        <v>1</v>
      </c>
      <c r="L8">
        <v>0</v>
      </c>
      <c r="M8" s="1">
        <v>5</v>
      </c>
      <c r="N8" s="1">
        <v>2</v>
      </c>
      <c r="O8">
        <v>5</v>
      </c>
      <c r="P8">
        <v>2</v>
      </c>
      <c r="Q8">
        <v>0</v>
      </c>
      <c r="R8" t="s">
        <v>26</v>
      </c>
      <c r="S8">
        <v>75</v>
      </c>
      <c r="T8" t="s">
        <v>26</v>
      </c>
      <c r="U8">
        <v>75</v>
      </c>
      <c r="V8">
        <v>24</v>
      </c>
      <c r="W8">
        <v>17</v>
      </c>
      <c r="X8">
        <v>47.6</v>
      </c>
    </row>
    <row r="10" spans="1:24" x14ac:dyDescent="0.25">
      <c r="A10" t="s">
        <v>112</v>
      </c>
      <c r="B10" s="2" t="s">
        <v>113</v>
      </c>
      <c r="C10" t="s">
        <v>114</v>
      </c>
      <c r="D10" t="s">
        <v>115</v>
      </c>
      <c r="E10" t="s">
        <v>3</v>
      </c>
      <c r="F10" t="s">
        <v>116</v>
      </c>
      <c r="G10" t="s">
        <v>117</v>
      </c>
    </row>
    <row r="11" spans="1:24" x14ac:dyDescent="0.25">
      <c r="A11" t="s">
        <v>123</v>
      </c>
      <c r="B11">
        <f>SUM(C2:C8)</f>
        <v>7</v>
      </c>
      <c r="C11">
        <f>AVERAGE(M2:M8)</f>
        <v>2.5714285714285716</v>
      </c>
      <c r="D11">
        <f>AVERAGE(N2:N8)</f>
        <v>3.8571428571428572</v>
      </c>
      <c r="E11">
        <f>COUNTIF(D2:D8, "1")</f>
        <v>2</v>
      </c>
      <c r="F11">
        <f>(SUM(M2:M8)-(SUM(N2:N8)))</f>
        <v>-9</v>
      </c>
      <c r="G11" s="6">
        <f>E11/B11</f>
        <v>0.2857142857142857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October</vt:lpstr>
      <vt:lpstr>November</vt:lpstr>
      <vt:lpstr>December</vt:lpstr>
      <vt:lpstr>January</vt:lpstr>
      <vt:lpstr>February</vt:lpstr>
      <vt:lpstr>March</vt:lpstr>
      <vt:lpstr>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McColl</cp:lastModifiedBy>
  <dcterms:created xsi:type="dcterms:W3CDTF">2026-10-13T02:33:21Z</dcterms:created>
  <dcterms:modified xsi:type="dcterms:W3CDTF">2026-10-13T04:05:48Z</dcterms:modified>
</cp:coreProperties>
</file>